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upreet python\"/>
    </mc:Choice>
  </mc:AlternateContent>
  <xr:revisionPtr revIDLastSave="0" documentId="13_ncr:1_{A8827ECF-8A0E-435B-8894-213610864CE0}" xr6:coauthVersionLast="47" xr6:coauthVersionMax="47" xr10:uidLastSave="{00000000-0000-0000-0000-000000000000}"/>
  <bookViews>
    <workbookView xWindow="-120" yWindow="-120" windowWidth="29040" windowHeight="15720" activeTab="1" xr2:uid="{B321B961-E6D5-48EA-B9EC-31D29BC80F9B}"/>
  </bookViews>
  <sheets>
    <sheet name="Employee_bonu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2" i="1" l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B12" i="2"/>
  <c r="B10" i="2"/>
  <c r="M11" i="1"/>
  <c r="M7" i="1"/>
  <c r="M3" i="1"/>
  <c r="M5" i="1"/>
  <c r="M9" i="1"/>
</calcChain>
</file>

<file path=xl/sharedStrings.xml><?xml version="1.0" encoding="utf-8"?>
<sst xmlns="http://schemas.openxmlformats.org/spreadsheetml/2006/main" count="421" uniqueCount="76">
  <si>
    <t>Name</t>
  </si>
  <si>
    <t>Department</t>
  </si>
  <si>
    <t>Score</t>
  </si>
  <si>
    <t>City</t>
  </si>
  <si>
    <t>Bonus_Eligible</t>
  </si>
  <si>
    <t>Salary</t>
  </si>
  <si>
    <t>Aarav Sharma</t>
  </si>
  <si>
    <t>Marketing</t>
  </si>
  <si>
    <t>Mumbai</t>
  </si>
  <si>
    <t>Yes</t>
  </si>
  <si>
    <t>Vivaan Mehta</t>
  </si>
  <si>
    <t>Operations</t>
  </si>
  <si>
    <t>Chennai</t>
  </si>
  <si>
    <t>No</t>
  </si>
  <si>
    <t>Aditya Nair</t>
  </si>
  <si>
    <t>Finance</t>
  </si>
  <si>
    <t>Krishna Rao</t>
  </si>
  <si>
    <t>Rohan Verma</t>
  </si>
  <si>
    <t>Ishaan Gupta</t>
  </si>
  <si>
    <t>HR</t>
  </si>
  <si>
    <t>Arjun Kulkarni</t>
  </si>
  <si>
    <t>Kabir Singh</t>
  </si>
  <si>
    <t>Bengaluru</t>
  </si>
  <si>
    <t>Atharv Joshi</t>
  </si>
  <si>
    <t>Pune</t>
  </si>
  <si>
    <t>Yuvraj Patel</t>
  </si>
  <si>
    <t>Ananya Iyer</t>
  </si>
  <si>
    <t>Diya Menon</t>
  </si>
  <si>
    <t>Aadhya Desai</t>
  </si>
  <si>
    <t>Myra Kapoor</t>
  </si>
  <si>
    <t>Saanvi Reddy</t>
  </si>
  <si>
    <t>Ira Khanna</t>
  </si>
  <si>
    <t>Meera Bansal</t>
  </si>
  <si>
    <t>Delhi</t>
  </si>
  <si>
    <t>Tara Chawla</t>
  </si>
  <si>
    <t>Riya Malhotra</t>
  </si>
  <si>
    <t>Sales</t>
  </si>
  <si>
    <t>Nisha Shah</t>
  </si>
  <si>
    <t>Siddharth Sinha</t>
  </si>
  <si>
    <t>Harsh Vardhan</t>
  </si>
  <si>
    <t>Pranav Chatterjee</t>
  </si>
  <si>
    <t>Manav Bhatt</t>
  </si>
  <si>
    <t>Dev Goel</t>
  </si>
  <si>
    <t>Kunal Saxena</t>
  </si>
  <si>
    <t>Ritvik Anand</t>
  </si>
  <si>
    <t>Shaurya Tandon</t>
  </si>
  <si>
    <t>Ayush Mittal</t>
  </si>
  <si>
    <t>Sameer Dubey</t>
  </si>
  <si>
    <t>Neha Mishra</t>
  </si>
  <si>
    <t>Pooja Agarwal</t>
  </si>
  <si>
    <t>Kavya Shetty</t>
  </si>
  <si>
    <t>Aarti Singh</t>
  </si>
  <si>
    <t>Juhi Shah</t>
  </si>
  <si>
    <t>Simran Kaur</t>
  </si>
  <si>
    <t>Tanvi Jha</t>
  </si>
  <si>
    <t>Anjali Rana</t>
  </si>
  <si>
    <t>Sneha Chakraborty</t>
  </si>
  <si>
    <t>Radhika Jain</t>
  </si>
  <si>
    <t>Rachit Ahuja</t>
  </si>
  <si>
    <t>Varun Malhotra</t>
  </si>
  <si>
    <t>Nikhil Kapoor</t>
  </si>
  <si>
    <t>Rahul Suri</t>
  </si>
  <si>
    <t>Mohit Batra</t>
  </si>
  <si>
    <t>Gaurav Khurana</t>
  </si>
  <si>
    <t>Ravi Shukla</t>
  </si>
  <si>
    <t>Amit Deshmukh</t>
  </si>
  <si>
    <t>Karan Gill</t>
  </si>
  <si>
    <t>Suresh Pillai</t>
  </si>
  <si>
    <t>Emp ID</t>
  </si>
  <si>
    <t>Salary Category</t>
  </si>
  <si>
    <t>VLOOKUP</t>
  </si>
  <si>
    <t>Performance</t>
  </si>
  <si>
    <t>Designation</t>
  </si>
  <si>
    <t>Zone</t>
  </si>
  <si>
    <t>Zonal Designation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</si>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</sst>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33" borderId="10" xfId="0" applyFill="1" applyBorder="1"/>
    <xf numFmtId="0" fontId="0" fillId="0" borderId="10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6A46-D11E-4D58-9C03-CAE2AFB43DA9}">
  <dimension ref="A1:M51"/>
  <sheetViews>
    <sheetView topLeftCell="A19" workbookViewId="0">
      <selection activeCell="L1" sqref="L1"/>
    </sheetView>
  </sheetViews>
  <sheetFormatPr defaultRowHeight="15" x14ac:dyDescent="0.25"/>
  <cols>
    <col min="3" max="3" width="22.140625" customWidth="1"/>
    <col min="8" max="8" width="15.5703125" customWidth="1"/>
    <col min="9" max="9" width="19.7109375" customWidth="1"/>
    <col min="10" max="10" width="24.140625" customWidth="1"/>
    <col min="11" max="11" width="15" customWidth="1"/>
    <col min="12" max="12" width="30" customWidth="1"/>
    <col min="13" max="13" width="16.85546875" customWidth="1"/>
  </cols>
  <sheetData>
    <row r="1" spans="1:13" x14ac:dyDescent="0.25">
      <c r="A1" s="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69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70</v>
      </c>
    </row>
    <row r="2" spans="1:13" x14ac:dyDescent="0.25">
      <c r="A2">
        <v>1001</v>
      </c>
      <c r="B2" t="s">
        <v>6</v>
      </c>
      <c r="C2" t="s">
        <v>7</v>
      </c>
      <c r="D2">
        <v>67</v>
      </c>
      <c r="E2" t="s">
        <v>8</v>
      </c>
      <c r="F2" t="s">
        <v>9</v>
      </c>
      <c r="G2">
        <v>38545</v>
      </c>
      <c r="H2" t="str">
        <f>IF(G:G &gt;= 70000,"High salary","Regular Salary")</f>
        <v>Regular Salary</v>
      </c>
      <c r="I2" t="str">
        <f>IF(AND(D:D &gt;=  85,G:G &gt;= 60000),"Good Performer","Average Performer")</f>
        <v>Average Performer</v>
      </c>
      <c r="J2" t="str">
        <f>E2&amp; " " &amp; C2 &amp; " Staff"</f>
        <v>Mumbai Marketing Staff</v>
      </c>
      <c r="K2" t="str">
        <f>IF(OR(E2="Mumbai",E2="Pune"),"West Zone",IF(E:E = "Delhi","North Zone","South Zone"))</f>
        <v>West Zone</v>
      </c>
      <c r="L2" t="str">
        <f>K2 &amp; " – " &amp; C2</f>
        <v>West Zone – Marketing</v>
      </c>
    </row>
    <row r="3" spans="1:13" x14ac:dyDescent="0.25">
      <c r="A3">
        <v>1002</v>
      </c>
      <c r="B3" t="s">
        <v>10</v>
      </c>
      <c r="C3" t="s">
        <v>11</v>
      </c>
      <c r="D3">
        <v>86</v>
      </c>
      <c r="E3" t="s">
        <v>12</v>
      </c>
      <c r="F3" t="s">
        <v>13</v>
      </c>
      <c r="G3">
        <v>91199</v>
      </c>
      <c r="H3" t="str">
        <f t="shared" ref="H3:H51" si="0">IF(G:G &gt;= 70000,"High salary","Regular Salary")</f>
        <v>High salary</v>
      </c>
      <c r="I3" t="str">
        <f t="shared" ref="I3:I51" si="1">IF(AND(D:D &gt;=  85,G:G &gt;= 60000),"Good Performer","Average Performer")</f>
        <v>Good Performer</v>
      </c>
      <c r="J3" t="str">
        <f t="shared" ref="J3:J51" si="2">E3&amp; " " &amp; C3 &amp; " Staff"</f>
        <v>Chennai Operations Staff</v>
      </c>
      <c r="K3" t="str">
        <f t="shared" ref="K3:K51" si="3">IF(OR(E3="Mumbai",E3="Pune"),"West Zone",IF(E:E = "Delhi","North Zone","South Zone"))</f>
        <v>South Zone</v>
      </c>
      <c r="L3" t="str">
        <f t="shared" ref="L3:L51" si="4">K3 &amp; " – " &amp; C3</f>
        <v>South Zone – Operations</v>
      </c>
      <c r="M3">
        <f>VLOOKUP("Yuvraj Patel",B1:G51,6,FALSE)</f>
        <v>87003</v>
      </c>
    </row>
    <row r="4" spans="1:13" x14ac:dyDescent="0.25">
      <c r="A4">
        <v>1003</v>
      </c>
      <c r="B4" t="s">
        <v>14</v>
      </c>
      <c r="C4" t="s">
        <v>15</v>
      </c>
      <c r="D4">
        <v>99</v>
      </c>
      <c r="E4" t="s">
        <v>12</v>
      </c>
      <c r="F4" t="s">
        <v>9</v>
      </c>
      <c r="G4">
        <v>59766</v>
      </c>
      <c r="H4" t="str">
        <f t="shared" si="0"/>
        <v>Regular Salary</v>
      </c>
      <c r="I4" t="str">
        <f t="shared" si="1"/>
        <v>Average Performer</v>
      </c>
      <c r="J4" t="str">
        <f t="shared" si="2"/>
        <v>Chennai Finance Staff</v>
      </c>
      <c r="K4" t="str">
        <f t="shared" si="3"/>
        <v>South Zone</v>
      </c>
      <c r="L4" t="str">
        <f t="shared" si="4"/>
        <v>South Zone – Finance</v>
      </c>
    </row>
    <row r="5" spans="1:13" x14ac:dyDescent="0.25">
      <c r="A5">
        <v>1004</v>
      </c>
      <c r="B5" t="s">
        <v>16</v>
      </c>
      <c r="C5" t="s">
        <v>11</v>
      </c>
      <c r="D5">
        <v>46</v>
      </c>
      <c r="E5" t="s">
        <v>8</v>
      </c>
      <c r="F5" t="s">
        <v>13</v>
      </c>
      <c r="G5">
        <v>86087</v>
      </c>
      <c r="H5" t="str">
        <f t="shared" si="0"/>
        <v>High salary</v>
      </c>
      <c r="I5" t="str">
        <f t="shared" si="1"/>
        <v>Average Performer</v>
      </c>
      <c r="J5" t="str">
        <f t="shared" si="2"/>
        <v>Mumbai Operations Staff</v>
      </c>
      <c r="K5" t="str">
        <f t="shared" si="3"/>
        <v>West Zone</v>
      </c>
      <c r="L5" t="str">
        <f t="shared" si="4"/>
        <v>West Zone – Operations</v>
      </c>
      <c r="M5" t="str">
        <f>VLOOKUP(1031,A1:C51,3,FALSE)</f>
        <v>Finance</v>
      </c>
    </row>
    <row r="6" spans="1:13" x14ac:dyDescent="0.25">
      <c r="A6">
        <v>1005</v>
      </c>
      <c r="B6" t="s">
        <v>17</v>
      </c>
      <c r="C6" t="s">
        <v>11</v>
      </c>
      <c r="D6">
        <v>83</v>
      </c>
      <c r="E6" t="s">
        <v>8</v>
      </c>
      <c r="F6" t="s">
        <v>9</v>
      </c>
      <c r="G6">
        <v>93840</v>
      </c>
      <c r="H6" t="str">
        <f t="shared" si="0"/>
        <v>High salary</v>
      </c>
      <c r="I6" t="str">
        <f t="shared" si="1"/>
        <v>Average Performer</v>
      </c>
      <c r="J6" t="str">
        <f t="shared" si="2"/>
        <v>Mumbai Operations Staff</v>
      </c>
      <c r="K6" t="str">
        <f t="shared" si="3"/>
        <v>West Zone</v>
      </c>
      <c r="L6" t="str">
        <f t="shared" si="4"/>
        <v>West Zone – Operations</v>
      </c>
    </row>
    <row r="7" spans="1:13" x14ac:dyDescent="0.25">
      <c r="A7">
        <v>1006</v>
      </c>
      <c r="B7" t="s">
        <v>18</v>
      </c>
      <c r="C7" t="s">
        <v>19</v>
      </c>
      <c r="D7">
        <v>47</v>
      </c>
      <c r="E7" t="s">
        <v>8</v>
      </c>
      <c r="F7" t="s">
        <v>9</v>
      </c>
      <c r="G7">
        <v>79384</v>
      </c>
      <c r="H7" t="str">
        <f t="shared" si="0"/>
        <v>High salary</v>
      </c>
      <c r="I7" t="str">
        <f t="shared" si="1"/>
        <v>Average Performer</v>
      </c>
      <c r="J7" t="str">
        <f t="shared" si="2"/>
        <v>Mumbai HR Staff</v>
      </c>
      <c r="K7" t="str">
        <f t="shared" si="3"/>
        <v>West Zone</v>
      </c>
      <c r="L7" t="str">
        <f t="shared" si="4"/>
        <v>West Zone – HR</v>
      </c>
      <c r="M7" t="str">
        <f>VLOOKUP("Sneha Chakraborty",B1:E51,4,FALSE)</f>
        <v>Delhi</v>
      </c>
    </row>
    <row r="8" spans="1:13" x14ac:dyDescent="0.25">
      <c r="A8">
        <v>1007</v>
      </c>
      <c r="B8" t="s">
        <v>20</v>
      </c>
      <c r="C8" t="s">
        <v>15</v>
      </c>
      <c r="D8">
        <v>86</v>
      </c>
      <c r="E8" t="s">
        <v>8</v>
      </c>
      <c r="F8" t="s">
        <v>9</v>
      </c>
      <c r="G8">
        <v>76005</v>
      </c>
      <c r="H8" t="str">
        <f t="shared" si="0"/>
        <v>High salary</v>
      </c>
      <c r="I8" t="str">
        <f t="shared" si="1"/>
        <v>Good Performer</v>
      </c>
      <c r="J8" t="str">
        <f t="shared" si="2"/>
        <v>Mumbai Finance Staff</v>
      </c>
      <c r="K8" t="str">
        <f t="shared" si="3"/>
        <v>West Zone</v>
      </c>
      <c r="L8" t="str">
        <f t="shared" si="4"/>
        <v>West Zone – Finance</v>
      </c>
    </row>
    <row r="9" spans="1:13" x14ac:dyDescent="0.25">
      <c r="A9">
        <v>1008</v>
      </c>
      <c r="B9" t="s">
        <v>21</v>
      </c>
      <c r="C9" t="s">
        <v>15</v>
      </c>
      <c r="D9">
        <v>74</v>
      </c>
      <c r="E9" t="s">
        <v>22</v>
      </c>
      <c r="F9" t="s">
        <v>13</v>
      </c>
      <c r="G9">
        <v>71576</v>
      </c>
      <c r="H9" t="str">
        <f t="shared" si="0"/>
        <v>High salary</v>
      </c>
      <c r="I9" t="str">
        <f t="shared" si="1"/>
        <v>Average Performer</v>
      </c>
      <c r="J9" t="str">
        <f t="shared" si="2"/>
        <v>Bengaluru Finance Staff</v>
      </c>
      <c r="K9" t="str">
        <f t="shared" si="3"/>
        <v>South Zone</v>
      </c>
      <c r="L9" t="str">
        <f t="shared" si="4"/>
        <v>South Zone – Finance</v>
      </c>
      <c r="M9">
        <f>VLOOKUP(1050,A1:D51,4,FALSE)</f>
        <v>84</v>
      </c>
    </row>
    <row r="10" spans="1:13" x14ac:dyDescent="0.25">
      <c r="A10">
        <v>1009</v>
      </c>
      <c r="B10" t="s">
        <v>23</v>
      </c>
      <c r="C10" t="s">
        <v>15</v>
      </c>
      <c r="D10">
        <v>53</v>
      </c>
      <c r="E10" t="s">
        <v>24</v>
      </c>
      <c r="F10" t="s">
        <v>13</v>
      </c>
      <c r="G10">
        <v>64353</v>
      </c>
      <c r="H10" t="str">
        <f t="shared" si="0"/>
        <v>Regular Salary</v>
      </c>
      <c r="I10" t="str">
        <f t="shared" si="1"/>
        <v>Average Performer</v>
      </c>
      <c r="J10" t="str">
        <f t="shared" si="2"/>
        <v>Pune Finance Staff</v>
      </c>
      <c r="K10" t="str">
        <f t="shared" si="3"/>
        <v>West Zone</v>
      </c>
      <c r="L10" t="str">
        <f t="shared" si="4"/>
        <v>West Zone – Finance</v>
      </c>
    </row>
    <row r="11" spans="1:13" x14ac:dyDescent="0.25">
      <c r="A11">
        <v>1010</v>
      </c>
      <c r="B11" t="s">
        <v>25</v>
      </c>
      <c r="C11" t="s">
        <v>11</v>
      </c>
      <c r="D11">
        <v>56</v>
      </c>
      <c r="E11" t="s">
        <v>24</v>
      </c>
      <c r="F11" t="s">
        <v>13</v>
      </c>
      <c r="G11">
        <v>87003</v>
      </c>
      <c r="H11" t="str">
        <f t="shared" si="0"/>
        <v>High salary</v>
      </c>
      <c r="I11" t="str">
        <f t="shared" si="1"/>
        <v>Average Performer</v>
      </c>
      <c r="J11" t="str">
        <f t="shared" si="2"/>
        <v>Pune Operations Staff</v>
      </c>
      <c r="K11" t="str">
        <f t="shared" si="3"/>
        <v>West Zone</v>
      </c>
      <c r="L11" t="str">
        <f t="shared" si="4"/>
        <v>West Zone – Operations</v>
      </c>
      <c r="M11" t="str">
        <f>VLOOKUP("Tara Chawla",B:F,5,FALSE)</f>
        <v>No</v>
      </c>
    </row>
    <row r="12" spans="1:13" x14ac:dyDescent="0.25">
      <c r="A12">
        <v>1011</v>
      </c>
      <c r="B12" t="s">
        <v>26</v>
      </c>
      <c r="C12" t="s">
        <v>7</v>
      </c>
      <c r="D12">
        <v>75</v>
      </c>
      <c r="E12" t="s">
        <v>8</v>
      </c>
      <c r="F12" t="s">
        <v>13</v>
      </c>
      <c r="G12">
        <v>77733</v>
      </c>
      <c r="H12" t="str">
        <f t="shared" si="0"/>
        <v>High salary</v>
      </c>
      <c r="I12" t="str">
        <f t="shared" si="1"/>
        <v>Average Performer</v>
      </c>
      <c r="J12" t="str">
        <f t="shared" si="2"/>
        <v>Mumbai Marketing Staff</v>
      </c>
      <c r="K12" t="str">
        <f t="shared" si="3"/>
        <v>West Zone</v>
      </c>
      <c r="L12" t="str">
        <f t="shared" si="4"/>
        <v>West Zone – Marketing</v>
      </c>
    </row>
    <row r="13" spans="1:13" x14ac:dyDescent="0.25">
      <c r="A13">
        <v>1012</v>
      </c>
      <c r="B13" t="s">
        <v>27</v>
      </c>
      <c r="C13" t="s">
        <v>15</v>
      </c>
      <c r="D13">
        <v>89</v>
      </c>
      <c r="E13" t="s">
        <v>24</v>
      </c>
      <c r="F13" t="s">
        <v>9</v>
      </c>
      <c r="G13">
        <v>90318</v>
      </c>
      <c r="H13" t="str">
        <f t="shared" si="0"/>
        <v>High salary</v>
      </c>
      <c r="I13" t="str">
        <f t="shared" si="1"/>
        <v>Good Performer</v>
      </c>
      <c r="J13" t="str">
        <f t="shared" si="2"/>
        <v>Pune Finance Staff</v>
      </c>
      <c r="K13" t="str">
        <f t="shared" si="3"/>
        <v>West Zone</v>
      </c>
      <c r="L13" t="str">
        <f t="shared" si="4"/>
        <v>West Zone – Finance</v>
      </c>
    </row>
    <row r="14" spans="1:13" x14ac:dyDescent="0.25">
      <c r="A14">
        <v>1013</v>
      </c>
      <c r="B14" t="s">
        <v>28</v>
      </c>
      <c r="C14" t="s">
        <v>11</v>
      </c>
      <c r="D14">
        <v>79</v>
      </c>
      <c r="E14" t="s">
        <v>24</v>
      </c>
      <c r="F14" t="s">
        <v>13</v>
      </c>
      <c r="G14">
        <v>48664</v>
      </c>
      <c r="H14" t="str">
        <f t="shared" si="0"/>
        <v>Regular Salary</v>
      </c>
      <c r="I14" t="str">
        <f t="shared" si="1"/>
        <v>Average Performer</v>
      </c>
      <c r="J14" t="str">
        <f t="shared" si="2"/>
        <v>Pune Operations Staff</v>
      </c>
      <c r="K14" t="str">
        <f t="shared" si="3"/>
        <v>West Zone</v>
      </c>
      <c r="L14" t="str">
        <f t="shared" si="4"/>
        <v>West Zone – Operations</v>
      </c>
    </row>
    <row r="15" spans="1:13" x14ac:dyDescent="0.25">
      <c r="A15">
        <v>1014</v>
      </c>
      <c r="B15" t="s">
        <v>29</v>
      </c>
      <c r="C15" t="s">
        <v>19</v>
      </c>
      <c r="D15">
        <v>43</v>
      </c>
      <c r="E15" t="s">
        <v>8</v>
      </c>
      <c r="F15" t="s">
        <v>9</v>
      </c>
      <c r="G15">
        <v>92172</v>
      </c>
      <c r="H15" t="str">
        <f t="shared" si="0"/>
        <v>High salary</v>
      </c>
      <c r="I15" t="str">
        <f t="shared" si="1"/>
        <v>Average Performer</v>
      </c>
      <c r="J15" t="str">
        <f t="shared" si="2"/>
        <v>Mumbai HR Staff</v>
      </c>
      <c r="K15" t="str">
        <f t="shared" si="3"/>
        <v>West Zone</v>
      </c>
      <c r="L15" t="str">
        <f t="shared" si="4"/>
        <v>West Zone – HR</v>
      </c>
    </row>
    <row r="16" spans="1:13" x14ac:dyDescent="0.25">
      <c r="A16">
        <v>1015</v>
      </c>
      <c r="B16" t="s">
        <v>30</v>
      </c>
      <c r="C16" t="s">
        <v>7</v>
      </c>
      <c r="D16">
        <v>41</v>
      </c>
      <c r="E16" t="s">
        <v>24</v>
      </c>
      <c r="F16" t="s">
        <v>9</v>
      </c>
      <c r="G16">
        <v>51736</v>
      </c>
      <c r="H16" t="str">
        <f t="shared" si="0"/>
        <v>Regular Salary</v>
      </c>
      <c r="I16" t="str">
        <f t="shared" si="1"/>
        <v>Average Performer</v>
      </c>
      <c r="J16" t="str">
        <f t="shared" si="2"/>
        <v>Pune Marketing Staff</v>
      </c>
      <c r="K16" t="str">
        <f t="shared" si="3"/>
        <v>West Zone</v>
      </c>
      <c r="L16" t="str">
        <f t="shared" si="4"/>
        <v>West Zone – Marketing</v>
      </c>
    </row>
    <row r="17" spans="1:12" x14ac:dyDescent="0.25">
      <c r="A17">
        <v>1016</v>
      </c>
      <c r="B17" t="s">
        <v>31</v>
      </c>
      <c r="C17" t="s">
        <v>19</v>
      </c>
      <c r="D17">
        <v>45</v>
      </c>
      <c r="E17" t="s">
        <v>12</v>
      </c>
      <c r="F17" t="s">
        <v>13</v>
      </c>
      <c r="G17">
        <v>25854</v>
      </c>
      <c r="H17" t="str">
        <f t="shared" si="0"/>
        <v>Regular Salary</v>
      </c>
      <c r="I17" t="str">
        <f t="shared" si="1"/>
        <v>Average Performer</v>
      </c>
      <c r="J17" t="str">
        <f t="shared" si="2"/>
        <v>Chennai HR Staff</v>
      </c>
      <c r="K17" t="str">
        <f t="shared" si="3"/>
        <v>South Zone</v>
      </c>
      <c r="L17" t="str">
        <f t="shared" si="4"/>
        <v>South Zone – HR</v>
      </c>
    </row>
    <row r="18" spans="1:12" x14ac:dyDescent="0.25">
      <c r="A18">
        <v>1017</v>
      </c>
      <c r="B18" t="s">
        <v>32</v>
      </c>
      <c r="C18" t="s">
        <v>7</v>
      </c>
      <c r="D18">
        <v>93</v>
      </c>
      <c r="E18" t="s">
        <v>33</v>
      </c>
      <c r="F18" t="s">
        <v>13</v>
      </c>
      <c r="G18">
        <v>63623</v>
      </c>
      <c r="H18" t="str">
        <f t="shared" si="0"/>
        <v>Regular Salary</v>
      </c>
      <c r="I18" t="str">
        <f t="shared" si="1"/>
        <v>Good Performer</v>
      </c>
      <c r="J18" t="str">
        <f t="shared" si="2"/>
        <v>Delhi Marketing Staff</v>
      </c>
      <c r="K18" t="str">
        <f t="shared" si="3"/>
        <v>North Zone</v>
      </c>
      <c r="L18" t="str">
        <f t="shared" si="4"/>
        <v>North Zone – Marketing</v>
      </c>
    </row>
    <row r="19" spans="1:12" x14ac:dyDescent="0.25">
      <c r="A19">
        <v>1018</v>
      </c>
      <c r="B19" t="s">
        <v>34</v>
      </c>
      <c r="C19" t="s">
        <v>11</v>
      </c>
      <c r="D19">
        <v>81</v>
      </c>
      <c r="E19" t="s">
        <v>33</v>
      </c>
      <c r="F19" t="s">
        <v>13</v>
      </c>
      <c r="G19">
        <v>32392</v>
      </c>
      <c r="H19" t="str">
        <f t="shared" si="0"/>
        <v>Regular Salary</v>
      </c>
      <c r="I19" t="str">
        <f t="shared" si="1"/>
        <v>Average Performer</v>
      </c>
      <c r="J19" t="str">
        <f t="shared" si="2"/>
        <v>Delhi Operations Staff</v>
      </c>
      <c r="K19" t="str">
        <f t="shared" si="3"/>
        <v>North Zone</v>
      </c>
      <c r="L19" t="str">
        <f t="shared" si="4"/>
        <v>North Zone – Operations</v>
      </c>
    </row>
    <row r="20" spans="1:12" x14ac:dyDescent="0.25">
      <c r="A20">
        <v>1019</v>
      </c>
      <c r="B20" t="s">
        <v>35</v>
      </c>
      <c r="C20" t="s">
        <v>36</v>
      </c>
      <c r="D20">
        <v>43</v>
      </c>
      <c r="E20" t="s">
        <v>8</v>
      </c>
      <c r="F20" t="s">
        <v>13</v>
      </c>
      <c r="G20">
        <v>80680</v>
      </c>
      <c r="H20" t="str">
        <f t="shared" si="0"/>
        <v>High salary</v>
      </c>
      <c r="I20" t="str">
        <f t="shared" si="1"/>
        <v>Average Performer</v>
      </c>
      <c r="J20" t="str">
        <f t="shared" si="2"/>
        <v>Mumbai Sales Staff</v>
      </c>
      <c r="K20" t="str">
        <f t="shared" si="3"/>
        <v>West Zone</v>
      </c>
      <c r="L20" t="str">
        <f t="shared" si="4"/>
        <v>West Zone – Sales</v>
      </c>
    </row>
    <row r="21" spans="1:12" x14ac:dyDescent="0.25">
      <c r="A21">
        <v>1020</v>
      </c>
      <c r="B21" t="s">
        <v>37</v>
      </c>
      <c r="C21" t="s">
        <v>7</v>
      </c>
      <c r="D21">
        <v>93</v>
      </c>
      <c r="E21" t="s">
        <v>22</v>
      </c>
      <c r="F21" t="s">
        <v>13</v>
      </c>
      <c r="G21">
        <v>71717</v>
      </c>
      <c r="H21" t="str">
        <f t="shared" si="0"/>
        <v>High salary</v>
      </c>
      <c r="I21" t="str">
        <f t="shared" si="1"/>
        <v>Good Performer</v>
      </c>
      <c r="J21" t="str">
        <f t="shared" si="2"/>
        <v>Bengaluru Marketing Staff</v>
      </c>
      <c r="K21" t="str">
        <f t="shared" si="3"/>
        <v>South Zone</v>
      </c>
      <c r="L21" t="str">
        <f t="shared" si="4"/>
        <v>South Zone – Marketing</v>
      </c>
    </row>
    <row r="22" spans="1:12" x14ac:dyDescent="0.25">
      <c r="A22">
        <v>1021</v>
      </c>
      <c r="B22" t="s">
        <v>38</v>
      </c>
      <c r="C22" t="s">
        <v>19</v>
      </c>
      <c r="D22">
        <v>68</v>
      </c>
      <c r="E22" t="s">
        <v>8</v>
      </c>
      <c r="F22" t="s">
        <v>13</v>
      </c>
      <c r="G22">
        <v>75859</v>
      </c>
      <c r="H22" t="str">
        <f t="shared" si="0"/>
        <v>High salary</v>
      </c>
      <c r="I22" t="str">
        <f t="shared" si="1"/>
        <v>Average Performer</v>
      </c>
      <c r="J22" t="str">
        <f t="shared" si="2"/>
        <v>Mumbai HR Staff</v>
      </c>
      <c r="K22" t="str">
        <f t="shared" si="3"/>
        <v>West Zone</v>
      </c>
      <c r="L22" t="str">
        <f t="shared" si="4"/>
        <v>West Zone – HR</v>
      </c>
    </row>
    <row r="23" spans="1:12" x14ac:dyDescent="0.25">
      <c r="A23">
        <v>1022</v>
      </c>
      <c r="B23" t="s">
        <v>39</v>
      </c>
      <c r="C23" t="s">
        <v>11</v>
      </c>
      <c r="D23">
        <v>57</v>
      </c>
      <c r="E23" t="s">
        <v>22</v>
      </c>
      <c r="F23" t="s">
        <v>13</v>
      </c>
      <c r="G23">
        <v>51309</v>
      </c>
      <c r="H23" t="str">
        <f t="shared" si="0"/>
        <v>Regular Salary</v>
      </c>
      <c r="I23" t="str">
        <f t="shared" si="1"/>
        <v>Average Performer</v>
      </c>
      <c r="J23" t="str">
        <f t="shared" si="2"/>
        <v>Bengaluru Operations Staff</v>
      </c>
      <c r="K23" t="str">
        <f t="shared" si="3"/>
        <v>South Zone</v>
      </c>
      <c r="L23" t="str">
        <f t="shared" si="4"/>
        <v>South Zone – Operations</v>
      </c>
    </row>
    <row r="24" spans="1:12" x14ac:dyDescent="0.25">
      <c r="A24">
        <v>1023</v>
      </c>
      <c r="B24" t="s">
        <v>40</v>
      </c>
      <c r="C24" t="s">
        <v>7</v>
      </c>
      <c r="D24">
        <v>65</v>
      </c>
      <c r="E24" t="s">
        <v>33</v>
      </c>
      <c r="F24" t="s">
        <v>13</v>
      </c>
      <c r="G24">
        <v>88734</v>
      </c>
      <c r="H24" t="str">
        <f t="shared" si="0"/>
        <v>High salary</v>
      </c>
      <c r="I24" t="str">
        <f t="shared" si="1"/>
        <v>Average Performer</v>
      </c>
      <c r="J24" t="str">
        <f t="shared" si="2"/>
        <v>Delhi Marketing Staff</v>
      </c>
      <c r="K24" t="str">
        <f t="shared" si="3"/>
        <v>North Zone</v>
      </c>
      <c r="L24" t="str">
        <f t="shared" si="4"/>
        <v>North Zone – Marketing</v>
      </c>
    </row>
    <row r="25" spans="1:12" x14ac:dyDescent="0.25">
      <c r="A25">
        <v>1024</v>
      </c>
      <c r="B25" t="s">
        <v>41</v>
      </c>
      <c r="C25" t="s">
        <v>36</v>
      </c>
      <c r="D25">
        <v>83</v>
      </c>
      <c r="E25" t="s">
        <v>8</v>
      </c>
      <c r="F25" t="s">
        <v>9</v>
      </c>
      <c r="G25">
        <v>77662</v>
      </c>
      <c r="H25" t="str">
        <f t="shared" si="0"/>
        <v>High salary</v>
      </c>
      <c r="I25" t="str">
        <f t="shared" si="1"/>
        <v>Average Performer</v>
      </c>
      <c r="J25" t="str">
        <f t="shared" si="2"/>
        <v>Mumbai Sales Staff</v>
      </c>
      <c r="K25" t="str">
        <f t="shared" si="3"/>
        <v>West Zone</v>
      </c>
      <c r="L25" t="str">
        <f t="shared" si="4"/>
        <v>West Zone – Sales</v>
      </c>
    </row>
    <row r="26" spans="1:12" x14ac:dyDescent="0.25">
      <c r="A26">
        <v>1025</v>
      </c>
      <c r="B26" t="s">
        <v>42</v>
      </c>
      <c r="C26" t="s">
        <v>36</v>
      </c>
      <c r="D26">
        <v>73</v>
      </c>
      <c r="E26" t="s">
        <v>12</v>
      </c>
      <c r="F26" t="s">
        <v>13</v>
      </c>
      <c r="G26">
        <v>37688</v>
      </c>
      <c r="H26" t="str">
        <f t="shared" si="0"/>
        <v>Regular Salary</v>
      </c>
      <c r="I26" t="str">
        <f t="shared" si="1"/>
        <v>Average Performer</v>
      </c>
      <c r="J26" t="str">
        <f t="shared" si="2"/>
        <v>Chennai Sales Staff</v>
      </c>
      <c r="K26" t="str">
        <f t="shared" si="3"/>
        <v>South Zone</v>
      </c>
      <c r="L26" t="str">
        <f t="shared" si="4"/>
        <v>South Zone – Sales</v>
      </c>
    </row>
    <row r="27" spans="1:12" x14ac:dyDescent="0.25">
      <c r="A27">
        <v>1026</v>
      </c>
      <c r="B27" t="s">
        <v>43</v>
      </c>
      <c r="C27" t="s">
        <v>15</v>
      </c>
      <c r="D27">
        <v>49</v>
      </c>
      <c r="E27" t="s">
        <v>24</v>
      </c>
      <c r="F27" t="s">
        <v>13</v>
      </c>
      <c r="G27">
        <v>50342</v>
      </c>
      <c r="H27" t="str">
        <f t="shared" si="0"/>
        <v>Regular Salary</v>
      </c>
      <c r="I27" t="str">
        <f t="shared" si="1"/>
        <v>Average Performer</v>
      </c>
      <c r="J27" t="str">
        <f t="shared" si="2"/>
        <v>Pune Finance Staff</v>
      </c>
      <c r="K27" t="str">
        <f t="shared" si="3"/>
        <v>West Zone</v>
      </c>
      <c r="L27" t="str">
        <f t="shared" si="4"/>
        <v>West Zone – Finance</v>
      </c>
    </row>
    <row r="28" spans="1:12" x14ac:dyDescent="0.25">
      <c r="A28">
        <v>1027</v>
      </c>
      <c r="B28" t="s">
        <v>44</v>
      </c>
      <c r="C28" t="s">
        <v>15</v>
      </c>
      <c r="D28">
        <v>75</v>
      </c>
      <c r="E28" t="s">
        <v>22</v>
      </c>
      <c r="F28" t="s">
        <v>9</v>
      </c>
      <c r="G28">
        <v>62157</v>
      </c>
      <c r="H28" t="str">
        <f t="shared" si="0"/>
        <v>Regular Salary</v>
      </c>
      <c r="I28" t="str">
        <f t="shared" si="1"/>
        <v>Average Performer</v>
      </c>
      <c r="J28" t="str">
        <f t="shared" si="2"/>
        <v>Bengaluru Finance Staff</v>
      </c>
      <c r="K28" t="str">
        <f t="shared" si="3"/>
        <v>South Zone</v>
      </c>
      <c r="L28" t="str">
        <f t="shared" si="4"/>
        <v>South Zone – Finance</v>
      </c>
    </row>
    <row r="29" spans="1:12" x14ac:dyDescent="0.25">
      <c r="A29">
        <v>1028</v>
      </c>
      <c r="B29" t="s">
        <v>45</v>
      </c>
      <c r="C29" t="s">
        <v>19</v>
      </c>
      <c r="D29">
        <v>53</v>
      </c>
      <c r="E29" t="s">
        <v>24</v>
      </c>
      <c r="F29" t="s">
        <v>13</v>
      </c>
      <c r="G29">
        <v>92863</v>
      </c>
      <c r="H29" t="str">
        <f t="shared" si="0"/>
        <v>High salary</v>
      </c>
      <c r="I29" t="str">
        <f t="shared" si="1"/>
        <v>Average Performer</v>
      </c>
      <c r="J29" t="str">
        <f t="shared" si="2"/>
        <v>Pune HR Staff</v>
      </c>
      <c r="K29" t="str">
        <f t="shared" si="3"/>
        <v>West Zone</v>
      </c>
      <c r="L29" t="str">
        <f t="shared" si="4"/>
        <v>West Zone – HR</v>
      </c>
    </row>
    <row r="30" spans="1:12" x14ac:dyDescent="0.25">
      <c r="A30">
        <v>1029</v>
      </c>
      <c r="B30" t="s">
        <v>46</v>
      </c>
      <c r="C30" t="s">
        <v>7</v>
      </c>
      <c r="D30">
        <v>70</v>
      </c>
      <c r="E30" t="s">
        <v>24</v>
      </c>
      <c r="F30" t="s">
        <v>9</v>
      </c>
      <c r="G30">
        <v>77083</v>
      </c>
      <c r="H30" t="str">
        <f t="shared" si="0"/>
        <v>High salary</v>
      </c>
      <c r="I30" t="str">
        <f t="shared" si="1"/>
        <v>Average Performer</v>
      </c>
      <c r="J30" t="str">
        <f t="shared" si="2"/>
        <v>Pune Marketing Staff</v>
      </c>
      <c r="K30" t="str">
        <f t="shared" si="3"/>
        <v>West Zone</v>
      </c>
      <c r="L30" t="str">
        <f t="shared" si="4"/>
        <v>West Zone – Marketing</v>
      </c>
    </row>
    <row r="31" spans="1:12" x14ac:dyDescent="0.25">
      <c r="A31">
        <v>1030</v>
      </c>
      <c r="B31" t="s">
        <v>47</v>
      </c>
      <c r="C31" t="s">
        <v>7</v>
      </c>
      <c r="D31">
        <v>87</v>
      </c>
      <c r="E31" t="s">
        <v>8</v>
      </c>
      <c r="F31" t="s">
        <v>9</v>
      </c>
      <c r="G31">
        <v>90733</v>
      </c>
      <c r="H31" t="str">
        <f t="shared" si="0"/>
        <v>High salary</v>
      </c>
      <c r="I31" t="str">
        <f t="shared" si="1"/>
        <v>Good Performer</v>
      </c>
      <c r="J31" t="str">
        <f t="shared" si="2"/>
        <v>Mumbai Marketing Staff</v>
      </c>
      <c r="K31" t="str">
        <f t="shared" si="3"/>
        <v>West Zone</v>
      </c>
      <c r="L31" t="str">
        <f t="shared" si="4"/>
        <v>West Zone – Marketing</v>
      </c>
    </row>
    <row r="32" spans="1:12" x14ac:dyDescent="0.25">
      <c r="A32">
        <v>1031</v>
      </c>
      <c r="B32" t="s">
        <v>48</v>
      </c>
      <c r="C32" t="s">
        <v>15</v>
      </c>
      <c r="D32">
        <v>54</v>
      </c>
      <c r="E32" t="s">
        <v>24</v>
      </c>
      <c r="F32" t="s">
        <v>13</v>
      </c>
      <c r="G32">
        <v>59698</v>
      </c>
      <c r="H32" t="str">
        <f t="shared" si="0"/>
        <v>Regular Salary</v>
      </c>
      <c r="I32" t="str">
        <f t="shared" si="1"/>
        <v>Average Performer</v>
      </c>
      <c r="J32" t="str">
        <f t="shared" si="2"/>
        <v>Pune Finance Staff</v>
      </c>
      <c r="K32" t="str">
        <f t="shared" si="3"/>
        <v>West Zone</v>
      </c>
      <c r="L32" t="str">
        <f t="shared" si="4"/>
        <v>West Zone – Finance</v>
      </c>
    </row>
    <row r="33" spans="1:12" x14ac:dyDescent="0.25">
      <c r="A33">
        <v>1032</v>
      </c>
      <c r="B33" t="s">
        <v>49</v>
      </c>
      <c r="C33" t="s">
        <v>7</v>
      </c>
      <c r="D33">
        <v>47</v>
      </c>
      <c r="E33" t="s">
        <v>12</v>
      </c>
      <c r="F33" t="s">
        <v>9</v>
      </c>
      <c r="G33">
        <v>47671</v>
      </c>
      <c r="H33" t="str">
        <f t="shared" si="0"/>
        <v>Regular Salary</v>
      </c>
      <c r="I33" t="str">
        <f t="shared" si="1"/>
        <v>Average Performer</v>
      </c>
      <c r="J33" t="str">
        <f t="shared" si="2"/>
        <v>Chennai Marketing Staff</v>
      </c>
      <c r="K33" t="str">
        <f t="shared" si="3"/>
        <v>South Zone</v>
      </c>
      <c r="L33" t="str">
        <f t="shared" si="4"/>
        <v>South Zone – Marketing</v>
      </c>
    </row>
    <row r="34" spans="1:12" x14ac:dyDescent="0.25">
      <c r="A34">
        <v>1033</v>
      </c>
      <c r="B34" t="s">
        <v>50</v>
      </c>
      <c r="C34" t="s">
        <v>7</v>
      </c>
      <c r="D34">
        <v>53</v>
      </c>
      <c r="E34" t="s">
        <v>24</v>
      </c>
      <c r="F34" t="s">
        <v>9</v>
      </c>
      <c r="G34">
        <v>50184</v>
      </c>
      <c r="H34" t="str">
        <f t="shared" si="0"/>
        <v>Regular Salary</v>
      </c>
      <c r="I34" t="str">
        <f t="shared" si="1"/>
        <v>Average Performer</v>
      </c>
      <c r="J34" t="str">
        <f t="shared" si="2"/>
        <v>Pune Marketing Staff</v>
      </c>
      <c r="K34" t="str">
        <f t="shared" si="3"/>
        <v>West Zone</v>
      </c>
      <c r="L34" t="str">
        <f t="shared" si="4"/>
        <v>West Zone – Marketing</v>
      </c>
    </row>
    <row r="35" spans="1:12" x14ac:dyDescent="0.25">
      <c r="A35">
        <v>1034</v>
      </c>
      <c r="B35" t="s">
        <v>51</v>
      </c>
      <c r="C35" t="s">
        <v>36</v>
      </c>
      <c r="D35">
        <v>62</v>
      </c>
      <c r="E35" t="s">
        <v>8</v>
      </c>
      <c r="F35" t="s">
        <v>9</v>
      </c>
      <c r="G35">
        <v>67107</v>
      </c>
      <c r="H35" t="str">
        <f t="shared" si="0"/>
        <v>Regular Salary</v>
      </c>
      <c r="I35" t="str">
        <f t="shared" si="1"/>
        <v>Average Performer</v>
      </c>
      <c r="J35" t="str">
        <f t="shared" si="2"/>
        <v>Mumbai Sales Staff</v>
      </c>
      <c r="K35" t="str">
        <f t="shared" si="3"/>
        <v>West Zone</v>
      </c>
      <c r="L35" t="str">
        <f t="shared" si="4"/>
        <v>West Zone – Sales</v>
      </c>
    </row>
    <row r="36" spans="1:12" x14ac:dyDescent="0.25">
      <c r="A36">
        <v>1035</v>
      </c>
      <c r="B36" t="s">
        <v>52</v>
      </c>
      <c r="C36" t="s">
        <v>15</v>
      </c>
      <c r="D36">
        <v>99</v>
      </c>
      <c r="E36" t="s">
        <v>12</v>
      </c>
      <c r="F36" t="s">
        <v>9</v>
      </c>
      <c r="G36">
        <v>76663</v>
      </c>
      <c r="H36" t="str">
        <f t="shared" si="0"/>
        <v>High salary</v>
      </c>
      <c r="I36" t="str">
        <f t="shared" si="1"/>
        <v>Good Performer</v>
      </c>
      <c r="J36" t="str">
        <f t="shared" si="2"/>
        <v>Chennai Finance Staff</v>
      </c>
      <c r="K36" t="str">
        <f t="shared" si="3"/>
        <v>South Zone</v>
      </c>
      <c r="L36" t="str">
        <f t="shared" si="4"/>
        <v>South Zone – Finance</v>
      </c>
    </row>
    <row r="37" spans="1:12" x14ac:dyDescent="0.25">
      <c r="A37">
        <v>1036</v>
      </c>
      <c r="B37" t="s">
        <v>53</v>
      </c>
      <c r="C37" t="s">
        <v>11</v>
      </c>
      <c r="D37">
        <v>96</v>
      </c>
      <c r="E37" t="s">
        <v>33</v>
      </c>
      <c r="F37" t="s">
        <v>13</v>
      </c>
      <c r="G37">
        <v>40708</v>
      </c>
      <c r="H37" t="str">
        <f t="shared" si="0"/>
        <v>Regular Salary</v>
      </c>
      <c r="I37" t="str">
        <f t="shared" si="1"/>
        <v>Average Performer</v>
      </c>
      <c r="J37" t="str">
        <f t="shared" si="2"/>
        <v>Delhi Operations Staff</v>
      </c>
      <c r="K37" t="str">
        <f t="shared" si="3"/>
        <v>North Zone</v>
      </c>
      <c r="L37" t="str">
        <f t="shared" si="4"/>
        <v>North Zone – Operations</v>
      </c>
    </row>
    <row r="38" spans="1:12" x14ac:dyDescent="0.25">
      <c r="A38">
        <v>1037</v>
      </c>
      <c r="B38" t="s">
        <v>54</v>
      </c>
      <c r="C38" t="s">
        <v>15</v>
      </c>
      <c r="D38">
        <v>79</v>
      </c>
      <c r="E38" t="s">
        <v>24</v>
      </c>
      <c r="F38" t="s">
        <v>9</v>
      </c>
      <c r="G38">
        <v>74811</v>
      </c>
      <c r="H38" t="str">
        <f t="shared" si="0"/>
        <v>High salary</v>
      </c>
      <c r="I38" t="str">
        <f t="shared" si="1"/>
        <v>Average Performer</v>
      </c>
      <c r="J38" t="str">
        <f t="shared" si="2"/>
        <v>Pune Finance Staff</v>
      </c>
      <c r="K38" t="str">
        <f t="shared" si="3"/>
        <v>West Zone</v>
      </c>
      <c r="L38" t="str">
        <f t="shared" si="4"/>
        <v>West Zone – Finance</v>
      </c>
    </row>
    <row r="39" spans="1:12" x14ac:dyDescent="0.25">
      <c r="A39">
        <v>1038</v>
      </c>
      <c r="B39" t="s">
        <v>55</v>
      </c>
      <c r="C39" t="s">
        <v>11</v>
      </c>
      <c r="D39">
        <v>60</v>
      </c>
      <c r="E39" t="s">
        <v>8</v>
      </c>
      <c r="F39" t="s">
        <v>13</v>
      </c>
      <c r="G39">
        <v>27811</v>
      </c>
      <c r="H39" t="str">
        <f t="shared" si="0"/>
        <v>Regular Salary</v>
      </c>
      <c r="I39" t="str">
        <f t="shared" si="1"/>
        <v>Average Performer</v>
      </c>
      <c r="J39" t="str">
        <f t="shared" si="2"/>
        <v>Mumbai Operations Staff</v>
      </c>
      <c r="K39" t="str">
        <f t="shared" si="3"/>
        <v>West Zone</v>
      </c>
      <c r="L39" t="str">
        <f t="shared" si="4"/>
        <v>West Zone – Operations</v>
      </c>
    </row>
    <row r="40" spans="1:12" x14ac:dyDescent="0.25">
      <c r="A40">
        <v>1039</v>
      </c>
      <c r="B40" t="s">
        <v>56</v>
      </c>
      <c r="C40" t="s">
        <v>36</v>
      </c>
      <c r="D40">
        <v>55</v>
      </c>
      <c r="E40" t="s">
        <v>33</v>
      </c>
      <c r="F40" t="s">
        <v>9</v>
      </c>
      <c r="G40">
        <v>81250</v>
      </c>
      <c r="H40" t="str">
        <f t="shared" si="0"/>
        <v>High salary</v>
      </c>
      <c r="I40" t="str">
        <f t="shared" si="1"/>
        <v>Average Performer</v>
      </c>
      <c r="J40" t="str">
        <f t="shared" si="2"/>
        <v>Delhi Sales Staff</v>
      </c>
      <c r="K40" t="str">
        <f t="shared" si="3"/>
        <v>North Zone</v>
      </c>
      <c r="L40" t="str">
        <f t="shared" si="4"/>
        <v>North Zone – Sales</v>
      </c>
    </row>
    <row r="41" spans="1:12" x14ac:dyDescent="0.25">
      <c r="A41">
        <v>1040</v>
      </c>
      <c r="B41" t="s">
        <v>57</v>
      </c>
      <c r="C41" t="s">
        <v>19</v>
      </c>
      <c r="D41">
        <v>84</v>
      </c>
      <c r="E41" t="s">
        <v>33</v>
      </c>
      <c r="F41" t="s">
        <v>9</v>
      </c>
      <c r="G41">
        <v>59754</v>
      </c>
      <c r="H41" t="str">
        <f t="shared" si="0"/>
        <v>Regular Salary</v>
      </c>
      <c r="I41" t="str">
        <f t="shared" si="1"/>
        <v>Average Performer</v>
      </c>
      <c r="J41" t="str">
        <f t="shared" si="2"/>
        <v>Delhi HR Staff</v>
      </c>
      <c r="K41" t="str">
        <f t="shared" si="3"/>
        <v>North Zone</v>
      </c>
      <c r="L41" t="str">
        <f t="shared" si="4"/>
        <v>North Zone – HR</v>
      </c>
    </row>
    <row r="42" spans="1:12" x14ac:dyDescent="0.25">
      <c r="A42">
        <v>1041</v>
      </c>
      <c r="B42" t="s">
        <v>58</v>
      </c>
      <c r="C42" t="s">
        <v>7</v>
      </c>
      <c r="D42">
        <v>57</v>
      </c>
      <c r="E42" t="s">
        <v>22</v>
      </c>
      <c r="F42" t="s">
        <v>9</v>
      </c>
      <c r="G42">
        <v>36411</v>
      </c>
      <c r="H42" t="str">
        <f t="shared" si="0"/>
        <v>Regular Salary</v>
      </c>
      <c r="I42" t="str">
        <f t="shared" si="1"/>
        <v>Average Performer</v>
      </c>
      <c r="J42" t="str">
        <f t="shared" si="2"/>
        <v>Bengaluru Marketing Staff</v>
      </c>
      <c r="K42" t="str">
        <f t="shared" si="3"/>
        <v>South Zone</v>
      </c>
      <c r="L42" t="str">
        <f t="shared" si="4"/>
        <v>South Zone – Marketing</v>
      </c>
    </row>
    <row r="43" spans="1:12" x14ac:dyDescent="0.25">
      <c r="A43">
        <v>1042</v>
      </c>
      <c r="B43" t="s">
        <v>59</v>
      </c>
      <c r="C43" t="s">
        <v>36</v>
      </c>
      <c r="D43">
        <v>86</v>
      </c>
      <c r="E43" t="s">
        <v>12</v>
      </c>
      <c r="F43" t="s">
        <v>9</v>
      </c>
      <c r="G43">
        <v>27911</v>
      </c>
      <c r="H43" t="str">
        <f t="shared" si="0"/>
        <v>Regular Salary</v>
      </c>
      <c r="I43" t="str">
        <f t="shared" si="1"/>
        <v>Average Performer</v>
      </c>
      <c r="J43" t="str">
        <f t="shared" si="2"/>
        <v>Chennai Sales Staff</v>
      </c>
      <c r="K43" t="str">
        <f t="shared" si="3"/>
        <v>South Zone</v>
      </c>
      <c r="L43" t="str">
        <f t="shared" si="4"/>
        <v>South Zone – Sales</v>
      </c>
    </row>
    <row r="44" spans="1:12" x14ac:dyDescent="0.25">
      <c r="A44">
        <v>1043</v>
      </c>
      <c r="B44" t="s">
        <v>60</v>
      </c>
      <c r="C44" t="s">
        <v>7</v>
      </c>
      <c r="D44">
        <v>92</v>
      </c>
      <c r="E44" t="s">
        <v>24</v>
      </c>
      <c r="F44" t="s">
        <v>13</v>
      </c>
      <c r="G44">
        <v>92270</v>
      </c>
      <c r="H44" t="str">
        <f t="shared" si="0"/>
        <v>High salary</v>
      </c>
      <c r="I44" t="str">
        <f t="shared" si="1"/>
        <v>Good Performer</v>
      </c>
      <c r="J44" t="str">
        <f t="shared" si="2"/>
        <v>Pune Marketing Staff</v>
      </c>
      <c r="K44" t="str">
        <f t="shared" si="3"/>
        <v>West Zone</v>
      </c>
      <c r="L44" t="str">
        <f t="shared" si="4"/>
        <v>West Zone – Marketing</v>
      </c>
    </row>
    <row r="45" spans="1:12" x14ac:dyDescent="0.25">
      <c r="A45">
        <v>1044</v>
      </c>
      <c r="B45" t="s">
        <v>61</v>
      </c>
      <c r="C45" t="s">
        <v>19</v>
      </c>
      <c r="D45">
        <v>63</v>
      </c>
      <c r="E45" t="s">
        <v>8</v>
      </c>
      <c r="F45" t="s">
        <v>13</v>
      </c>
      <c r="G45">
        <v>33680</v>
      </c>
      <c r="H45" t="str">
        <f t="shared" si="0"/>
        <v>Regular Salary</v>
      </c>
      <c r="I45" t="str">
        <f t="shared" si="1"/>
        <v>Average Performer</v>
      </c>
      <c r="J45" t="str">
        <f t="shared" si="2"/>
        <v>Mumbai HR Staff</v>
      </c>
      <c r="K45" t="str">
        <f t="shared" si="3"/>
        <v>West Zone</v>
      </c>
      <c r="L45" t="str">
        <f t="shared" si="4"/>
        <v>West Zone – HR</v>
      </c>
    </row>
    <row r="46" spans="1:12" x14ac:dyDescent="0.25">
      <c r="A46">
        <v>1045</v>
      </c>
      <c r="B46" t="s">
        <v>62</v>
      </c>
      <c r="C46" t="s">
        <v>19</v>
      </c>
      <c r="D46">
        <v>65</v>
      </c>
      <c r="E46" t="s">
        <v>22</v>
      </c>
      <c r="F46" t="s">
        <v>9</v>
      </c>
      <c r="G46">
        <v>36111</v>
      </c>
      <c r="H46" t="str">
        <f t="shared" si="0"/>
        <v>Regular Salary</v>
      </c>
      <c r="I46" t="str">
        <f t="shared" si="1"/>
        <v>Average Performer</v>
      </c>
      <c r="J46" t="str">
        <f t="shared" si="2"/>
        <v>Bengaluru HR Staff</v>
      </c>
      <c r="K46" t="str">
        <f t="shared" si="3"/>
        <v>South Zone</v>
      </c>
      <c r="L46" t="str">
        <f t="shared" si="4"/>
        <v>South Zone – HR</v>
      </c>
    </row>
    <row r="47" spans="1:12" x14ac:dyDescent="0.25">
      <c r="A47">
        <v>1046</v>
      </c>
      <c r="B47" t="s">
        <v>63</v>
      </c>
      <c r="C47" t="s">
        <v>36</v>
      </c>
      <c r="D47">
        <v>64</v>
      </c>
      <c r="E47" t="s">
        <v>12</v>
      </c>
      <c r="F47" t="s">
        <v>9</v>
      </c>
      <c r="G47">
        <v>62504</v>
      </c>
      <c r="H47" t="str">
        <f t="shared" si="0"/>
        <v>Regular Salary</v>
      </c>
      <c r="I47" t="str">
        <f t="shared" si="1"/>
        <v>Average Performer</v>
      </c>
      <c r="J47" t="str">
        <f t="shared" si="2"/>
        <v>Chennai Sales Staff</v>
      </c>
      <c r="K47" t="str">
        <f t="shared" si="3"/>
        <v>South Zone</v>
      </c>
      <c r="L47" t="str">
        <f t="shared" si="4"/>
        <v>South Zone – Sales</v>
      </c>
    </row>
    <row r="48" spans="1:12" x14ac:dyDescent="0.25">
      <c r="A48">
        <v>1047</v>
      </c>
      <c r="B48" t="s">
        <v>64</v>
      </c>
      <c r="C48" t="s">
        <v>19</v>
      </c>
      <c r="D48">
        <v>99</v>
      </c>
      <c r="E48" t="s">
        <v>22</v>
      </c>
      <c r="F48" t="s">
        <v>13</v>
      </c>
      <c r="G48">
        <v>26802</v>
      </c>
      <c r="H48" t="str">
        <f t="shared" si="0"/>
        <v>Regular Salary</v>
      </c>
      <c r="I48" t="str">
        <f t="shared" si="1"/>
        <v>Average Performer</v>
      </c>
      <c r="J48" t="str">
        <f t="shared" si="2"/>
        <v>Bengaluru HR Staff</v>
      </c>
      <c r="K48" t="str">
        <f t="shared" si="3"/>
        <v>South Zone</v>
      </c>
      <c r="L48" t="str">
        <f t="shared" si="4"/>
        <v>South Zone – HR</v>
      </c>
    </row>
    <row r="49" spans="1:12" x14ac:dyDescent="0.25">
      <c r="A49">
        <v>1048</v>
      </c>
      <c r="B49" t="s">
        <v>65</v>
      </c>
      <c r="C49" t="s">
        <v>11</v>
      </c>
      <c r="D49">
        <v>99</v>
      </c>
      <c r="E49" t="s">
        <v>12</v>
      </c>
      <c r="F49" t="s">
        <v>9</v>
      </c>
      <c r="G49">
        <v>33155</v>
      </c>
      <c r="H49" t="str">
        <f t="shared" si="0"/>
        <v>Regular Salary</v>
      </c>
      <c r="I49" t="str">
        <f t="shared" si="1"/>
        <v>Average Performer</v>
      </c>
      <c r="J49" t="str">
        <f t="shared" si="2"/>
        <v>Chennai Operations Staff</v>
      </c>
      <c r="K49" t="str">
        <f t="shared" si="3"/>
        <v>South Zone</v>
      </c>
      <c r="L49" t="str">
        <f t="shared" si="4"/>
        <v>South Zone – Operations</v>
      </c>
    </row>
    <row r="50" spans="1:12" x14ac:dyDescent="0.25">
      <c r="A50">
        <v>1049</v>
      </c>
      <c r="B50" t="s">
        <v>66</v>
      </c>
      <c r="C50" t="s">
        <v>19</v>
      </c>
      <c r="D50">
        <v>99</v>
      </c>
      <c r="E50" t="s">
        <v>12</v>
      </c>
      <c r="F50" t="s">
        <v>9</v>
      </c>
      <c r="G50">
        <v>64384</v>
      </c>
      <c r="H50" t="str">
        <f t="shared" si="0"/>
        <v>Regular Salary</v>
      </c>
      <c r="I50" t="str">
        <f t="shared" si="1"/>
        <v>Good Performer</v>
      </c>
      <c r="J50" t="str">
        <f t="shared" si="2"/>
        <v>Chennai HR Staff</v>
      </c>
      <c r="K50" t="str">
        <f t="shared" si="3"/>
        <v>South Zone</v>
      </c>
      <c r="L50" t="str">
        <f t="shared" si="4"/>
        <v>South Zone – HR</v>
      </c>
    </row>
    <row r="51" spans="1:12" x14ac:dyDescent="0.25">
      <c r="A51">
        <v>1050</v>
      </c>
      <c r="B51" t="s">
        <v>67</v>
      </c>
      <c r="C51" t="s">
        <v>7</v>
      </c>
      <c r="D51">
        <v>84</v>
      </c>
      <c r="E51" t="s">
        <v>24</v>
      </c>
      <c r="F51" t="s">
        <v>9</v>
      </c>
      <c r="G51">
        <v>72254</v>
      </c>
      <c r="H51" t="str">
        <f t="shared" si="0"/>
        <v>High salary</v>
      </c>
      <c r="I51" t="str">
        <f t="shared" si="1"/>
        <v>Average Performer</v>
      </c>
      <c r="J51" t="str">
        <f t="shared" si="2"/>
        <v>Pune Marketing Staff</v>
      </c>
      <c r="K51" t="str">
        <f t="shared" si="3"/>
        <v>West Zone</v>
      </c>
      <c r="L51" t="str">
        <f t="shared" si="4"/>
        <v>West Zone – Marketing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6227-EAFB-4550-BE9C-A0BEA3A44740}">
  <dimension ref="A1:AZ12"/>
  <sheetViews>
    <sheetView tabSelected="1" workbookViewId="0">
      <selection activeCell="D13" sqref="D13"/>
    </sheetView>
  </sheetViews>
  <sheetFormatPr defaultRowHeight="15" x14ac:dyDescent="0.25"/>
  <cols>
    <col min="1" max="1" width="16" customWidth="1"/>
    <col min="2" max="2" width="13.42578125" customWidth="1"/>
    <col min="3" max="4" width="13" customWidth="1"/>
    <col min="5" max="5" width="12.7109375" customWidth="1"/>
  </cols>
  <sheetData>
    <row r="1" spans="1:52" x14ac:dyDescent="0.25">
      <c r="A1" s="2" t="s">
        <v>68</v>
      </c>
      <c r="B1" s="3">
        <v>1001</v>
      </c>
      <c r="C1" s="3">
        <v>1002</v>
      </c>
      <c r="D1" s="3">
        <v>1003</v>
      </c>
      <c r="E1" s="3">
        <v>1004</v>
      </c>
      <c r="F1" s="3">
        <v>1005</v>
      </c>
      <c r="G1" s="3">
        <v>1006</v>
      </c>
      <c r="H1" s="3">
        <v>1007</v>
      </c>
      <c r="I1" s="3">
        <v>1008</v>
      </c>
      <c r="J1" s="3">
        <v>1009</v>
      </c>
      <c r="K1" s="3">
        <v>1010</v>
      </c>
      <c r="L1" s="3">
        <v>1011</v>
      </c>
      <c r="M1" s="3">
        <v>1012</v>
      </c>
      <c r="N1" s="3">
        <v>1013</v>
      </c>
      <c r="O1" s="3">
        <v>1014</v>
      </c>
      <c r="P1" s="3">
        <v>1015</v>
      </c>
      <c r="Q1" s="3">
        <v>1016</v>
      </c>
      <c r="R1" s="3">
        <v>1017</v>
      </c>
      <c r="S1" s="3">
        <v>1018</v>
      </c>
      <c r="T1" s="3">
        <v>1019</v>
      </c>
      <c r="U1" s="3">
        <v>1020</v>
      </c>
      <c r="V1" s="3">
        <v>1021</v>
      </c>
      <c r="W1" s="3">
        <v>1022</v>
      </c>
      <c r="X1" s="3">
        <v>1023</v>
      </c>
      <c r="Y1" s="3">
        <v>1024</v>
      </c>
      <c r="Z1" s="3">
        <v>1025</v>
      </c>
      <c r="AA1" s="3">
        <v>1026</v>
      </c>
      <c r="AB1" s="3">
        <v>1027</v>
      </c>
      <c r="AC1" s="3">
        <v>1028</v>
      </c>
      <c r="AD1" s="3">
        <v>1029</v>
      </c>
      <c r="AE1" s="3">
        <v>1030</v>
      </c>
      <c r="AF1" s="3">
        <v>1031</v>
      </c>
      <c r="AG1" s="3">
        <v>1032</v>
      </c>
      <c r="AH1" s="3">
        <v>1033</v>
      </c>
      <c r="AI1" s="3">
        <v>1034</v>
      </c>
      <c r="AJ1" s="3">
        <v>1035</v>
      </c>
      <c r="AK1" s="3">
        <v>1036</v>
      </c>
      <c r="AL1" s="3">
        <v>1037</v>
      </c>
      <c r="AM1" s="3">
        <v>1038</v>
      </c>
      <c r="AN1" s="3">
        <v>1039</v>
      </c>
      <c r="AO1" s="3">
        <v>1040</v>
      </c>
      <c r="AP1" s="3">
        <v>1041</v>
      </c>
      <c r="AQ1" s="3">
        <v>1042</v>
      </c>
      <c r="AR1" s="3">
        <v>1043</v>
      </c>
      <c r="AS1" s="3">
        <v>1044</v>
      </c>
      <c r="AT1" s="3">
        <v>1045</v>
      </c>
      <c r="AU1" s="3">
        <v>1046</v>
      </c>
      <c r="AV1" s="3">
        <v>1047</v>
      </c>
      <c r="AW1" s="3">
        <v>1048</v>
      </c>
      <c r="AX1" s="3">
        <v>1049</v>
      </c>
      <c r="AY1" s="3">
        <v>1050</v>
      </c>
      <c r="AZ1" s="3"/>
    </row>
    <row r="2" spans="1:52" x14ac:dyDescent="0.25">
      <c r="A2" s="2" t="s">
        <v>0</v>
      </c>
      <c r="B2" s="3" t="s">
        <v>6</v>
      </c>
      <c r="C2" s="3" t="s">
        <v>10</v>
      </c>
      <c r="D2" s="3" t="s">
        <v>14</v>
      </c>
      <c r="E2" s="3" t="s">
        <v>16</v>
      </c>
      <c r="F2" s="3" t="s">
        <v>17</v>
      </c>
      <c r="G2" s="3" t="s">
        <v>18</v>
      </c>
      <c r="H2" s="3" t="s">
        <v>20</v>
      </c>
      <c r="I2" s="3" t="s">
        <v>21</v>
      </c>
      <c r="J2" s="3" t="s">
        <v>23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34</v>
      </c>
      <c r="T2" s="3" t="s">
        <v>35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  <c r="Z2" s="3" t="s">
        <v>42</v>
      </c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3" t="s">
        <v>49</v>
      </c>
      <c r="AH2" s="3" t="s">
        <v>50</v>
      </c>
      <c r="AI2" s="3" t="s">
        <v>51</v>
      </c>
      <c r="AJ2" s="3" t="s">
        <v>52</v>
      </c>
      <c r="AK2" s="3" t="s">
        <v>53</v>
      </c>
      <c r="AL2" s="3" t="s">
        <v>54</v>
      </c>
      <c r="AM2" s="3" t="s">
        <v>55</v>
      </c>
      <c r="AN2" s="3" t="s">
        <v>56</v>
      </c>
      <c r="AO2" s="3" t="s">
        <v>57</v>
      </c>
      <c r="AP2" s="3" t="s">
        <v>58</v>
      </c>
      <c r="AQ2" s="3" t="s">
        <v>59</v>
      </c>
      <c r="AR2" s="3" t="s">
        <v>60</v>
      </c>
      <c r="AS2" s="3" t="s">
        <v>61</v>
      </c>
      <c r="AT2" s="3" t="s">
        <v>62</v>
      </c>
      <c r="AU2" s="3" t="s">
        <v>63</v>
      </c>
      <c r="AV2" s="3" t="s">
        <v>64</v>
      </c>
      <c r="AW2" s="3" t="s">
        <v>65</v>
      </c>
      <c r="AX2" s="3" t="s">
        <v>66</v>
      </c>
      <c r="AY2" s="3" t="s">
        <v>67</v>
      </c>
      <c r="AZ2" s="3"/>
    </row>
    <row r="3" spans="1:52" x14ac:dyDescent="0.25">
      <c r="A3" s="2" t="s">
        <v>1</v>
      </c>
      <c r="B3" s="3" t="s">
        <v>7</v>
      </c>
      <c r="C3" s="3" t="s">
        <v>11</v>
      </c>
      <c r="D3" s="3" t="s">
        <v>15</v>
      </c>
      <c r="E3" s="3" t="s">
        <v>11</v>
      </c>
      <c r="F3" s="3" t="s">
        <v>11</v>
      </c>
      <c r="G3" s="3" t="s">
        <v>19</v>
      </c>
      <c r="H3" s="3" t="s">
        <v>15</v>
      </c>
      <c r="I3" s="3" t="s">
        <v>15</v>
      </c>
      <c r="J3" s="3" t="s">
        <v>15</v>
      </c>
      <c r="K3" s="3" t="s">
        <v>11</v>
      </c>
      <c r="L3" s="3" t="s">
        <v>7</v>
      </c>
      <c r="M3" s="3" t="s">
        <v>15</v>
      </c>
      <c r="N3" s="3" t="s">
        <v>11</v>
      </c>
      <c r="O3" s="3" t="s">
        <v>19</v>
      </c>
      <c r="P3" s="3" t="s">
        <v>7</v>
      </c>
      <c r="Q3" s="3" t="s">
        <v>19</v>
      </c>
      <c r="R3" s="3" t="s">
        <v>7</v>
      </c>
      <c r="S3" s="3" t="s">
        <v>11</v>
      </c>
      <c r="T3" s="3" t="s">
        <v>36</v>
      </c>
      <c r="U3" s="3" t="s">
        <v>7</v>
      </c>
      <c r="V3" s="3" t="s">
        <v>19</v>
      </c>
      <c r="W3" s="3" t="s">
        <v>11</v>
      </c>
      <c r="X3" s="3" t="s">
        <v>7</v>
      </c>
      <c r="Y3" s="3" t="s">
        <v>36</v>
      </c>
      <c r="Z3" s="3" t="s">
        <v>36</v>
      </c>
      <c r="AA3" s="3" t="s">
        <v>15</v>
      </c>
      <c r="AB3" s="3" t="s">
        <v>15</v>
      </c>
      <c r="AC3" s="3" t="s">
        <v>19</v>
      </c>
      <c r="AD3" s="3" t="s">
        <v>7</v>
      </c>
      <c r="AE3" s="3" t="s">
        <v>7</v>
      </c>
      <c r="AF3" s="3" t="s">
        <v>15</v>
      </c>
      <c r="AG3" s="3" t="s">
        <v>7</v>
      </c>
      <c r="AH3" s="3" t="s">
        <v>7</v>
      </c>
      <c r="AI3" s="3" t="s">
        <v>36</v>
      </c>
      <c r="AJ3" s="3" t="s">
        <v>15</v>
      </c>
      <c r="AK3" s="3" t="s">
        <v>11</v>
      </c>
      <c r="AL3" s="3" t="s">
        <v>15</v>
      </c>
      <c r="AM3" s="3" t="s">
        <v>11</v>
      </c>
      <c r="AN3" s="3" t="s">
        <v>36</v>
      </c>
      <c r="AO3" s="3" t="s">
        <v>19</v>
      </c>
      <c r="AP3" s="3" t="s">
        <v>7</v>
      </c>
      <c r="AQ3" s="3" t="s">
        <v>36</v>
      </c>
      <c r="AR3" s="3" t="s">
        <v>7</v>
      </c>
      <c r="AS3" s="3" t="s">
        <v>19</v>
      </c>
      <c r="AT3" s="3" t="s">
        <v>19</v>
      </c>
      <c r="AU3" s="3" t="s">
        <v>36</v>
      </c>
      <c r="AV3" s="3" t="s">
        <v>19</v>
      </c>
      <c r="AW3" s="3" t="s">
        <v>11</v>
      </c>
      <c r="AX3" s="3" t="s">
        <v>19</v>
      </c>
      <c r="AY3" s="3" t="s">
        <v>7</v>
      </c>
      <c r="AZ3" s="3"/>
    </row>
    <row r="4" spans="1:52" x14ac:dyDescent="0.25">
      <c r="A4" s="2" t="s">
        <v>2</v>
      </c>
      <c r="B4" s="3">
        <v>67</v>
      </c>
      <c r="C4" s="3">
        <v>86</v>
      </c>
      <c r="D4" s="3">
        <v>99</v>
      </c>
      <c r="E4" s="3">
        <v>46</v>
      </c>
      <c r="F4" s="3">
        <v>83</v>
      </c>
      <c r="G4" s="3">
        <v>47</v>
      </c>
      <c r="H4" s="3">
        <v>86</v>
      </c>
      <c r="I4" s="3">
        <v>74</v>
      </c>
      <c r="J4" s="3">
        <v>53</v>
      </c>
      <c r="K4" s="3">
        <v>56</v>
      </c>
      <c r="L4" s="3">
        <v>75</v>
      </c>
      <c r="M4" s="3">
        <v>89</v>
      </c>
      <c r="N4" s="3">
        <v>79</v>
      </c>
      <c r="O4" s="3">
        <v>43</v>
      </c>
      <c r="P4" s="3">
        <v>41</v>
      </c>
      <c r="Q4" s="3">
        <v>45</v>
      </c>
      <c r="R4" s="3">
        <v>93</v>
      </c>
      <c r="S4" s="3">
        <v>81</v>
      </c>
      <c r="T4" s="3">
        <v>43</v>
      </c>
      <c r="U4" s="3">
        <v>93</v>
      </c>
      <c r="V4" s="3">
        <v>68</v>
      </c>
      <c r="W4" s="3">
        <v>57</v>
      </c>
      <c r="X4" s="3">
        <v>65</v>
      </c>
      <c r="Y4" s="3">
        <v>83</v>
      </c>
      <c r="Z4" s="3">
        <v>73</v>
      </c>
      <c r="AA4" s="3">
        <v>49</v>
      </c>
      <c r="AB4" s="3">
        <v>75</v>
      </c>
      <c r="AC4" s="3">
        <v>53</v>
      </c>
      <c r="AD4" s="3">
        <v>70</v>
      </c>
      <c r="AE4" s="3">
        <v>87</v>
      </c>
      <c r="AF4" s="3">
        <v>54</v>
      </c>
      <c r="AG4" s="3">
        <v>47</v>
      </c>
      <c r="AH4" s="3">
        <v>53</v>
      </c>
      <c r="AI4" s="3">
        <v>62</v>
      </c>
      <c r="AJ4" s="3">
        <v>99</v>
      </c>
      <c r="AK4" s="3">
        <v>96</v>
      </c>
      <c r="AL4" s="3">
        <v>79</v>
      </c>
      <c r="AM4" s="3">
        <v>60</v>
      </c>
      <c r="AN4" s="3">
        <v>55</v>
      </c>
      <c r="AO4" s="3">
        <v>84</v>
      </c>
      <c r="AP4" s="3">
        <v>57</v>
      </c>
      <c r="AQ4" s="3">
        <v>86</v>
      </c>
      <c r="AR4" s="3">
        <v>92</v>
      </c>
      <c r="AS4" s="3">
        <v>63</v>
      </c>
      <c r="AT4" s="3">
        <v>65</v>
      </c>
      <c r="AU4" s="3">
        <v>64</v>
      </c>
      <c r="AV4" s="3">
        <v>99</v>
      </c>
      <c r="AW4" s="3">
        <v>99</v>
      </c>
      <c r="AX4" s="3">
        <v>99</v>
      </c>
      <c r="AY4" s="3">
        <v>84</v>
      </c>
      <c r="AZ4" s="3"/>
    </row>
    <row r="5" spans="1:52" x14ac:dyDescent="0.25">
      <c r="A5" s="2" t="s">
        <v>3</v>
      </c>
      <c r="B5" s="3" t="s">
        <v>8</v>
      </c>
      <c r="C5" s="3" t="s">
        <v>12</v>
      </c>
      <c r="D5" s="3" t="s">
        <v>12</v>
      </c>
      <c r="E5" s="3" t="s">
        <v>8</v>
      </c>
      <c r="F5" s="3" t="s">
        <v>8</v>
      </c>
      <c r="G5" s="3" t="s">
        <v>8</v>
      </c>
      <c r="H5" s="3" t="s">
        <v>8</v>
      </c>
      <c r="I5" s="3" t="s">
        <v>22</v>
      </c>
      <c r="J5" s="3" t="s">
        <v>24</v>
      </c>
      <c r="K5" s="3" t="s">
        <v>24</v>
      </c>
      <c r="L5" s="3" t="s">
        <v>8</v>
      </c>
      <c r="M5" s="3" t="s">
        <v>24</v>
      </c>
      <c r="N5" s="3" t="s">
        <v>24</v>
      </c>
      <c r="O5" s="3" t="s">
        <v>8</v>
      </c>
      <c r="P5" s="3" t="s">
        <v>24</v>
      </c>
      <c r="Q5" s="3" t="s">
        <v>12</v>
      </c>
      <c r="R5" s="3" t="s">
        <v>33</v>
      </c>
      <c r="S5" s="3" t="s">
        <v>33</v>
      </c>
      <c r="T5" s="3" t="s">
        <v>8</v>
      </c>
      <c r="U5" s="3" t="s">
        <v>22</v>
      </c>
      <c r="V5" s="3" t="s">
        <v>8</v>
      </c>
      <c r="W5" s="3" t="s">
        <v>22</v>
      </c>
      <c r="X5" s="3" t="s">
        <v>33</v>
      </c>
      <c r="Y5" s="3" t="s">
        <v>8</v>
      </c>
      <c r="Z5" s="3" t="s">
        <v>12</v>
      </c>
      <c r="AA5" s="3" t="s">
        <v>24</v>
      </c>
      <c r="AB5" s="3" t="s">
        <v>22</v>
      </c>
      <c r="AC5" s="3" t="s">
        <v>24</v>
      </c>
      <c r="AD5" s="3" t="s">
        <v>24</v>
      </c>
      <c r="AE5" s="3" t="s">
        <v>8</v>
      </c>
      <c r="AF5" s="3" t="s">
        <v>24</v>
      </c>
      <c r="AG5" s="3" t="s">
        <v>12</v>
      </c>
      <c r="AH5" s="3" t="s">
        <v>24</v>
      </c>
      <c r="AI5" s="3" t="s">
        <v>8</v>
      </c>
      <c r="AJ5" s="3" t="s">
        <v>12</v>
      </c>
      <c r="AK5" s="3" t="s">
        <v>33</v>
      </c>
      <c r="AL5" s="3" t="s">
        <v>24</v>
      </c>
      <c r="AM5" s="3" t="s">
        <v>8</v>
      </c>
      <c r="AN5" s="3" t="s">
        <v>33</v>
      </c>
      <c r="AO5" s="3" t="s">
        <v>33</v>
      </c>
      <c r="AP5" s="3" t="s">
        <v>22</v>
      </c>
      <c r="AQ5" s="3" t="s">
        <v>12</v>
      </c>
      <c r="AR5" s="3" t="s">
        <v>24</v>
      </c>
      <c r="AS5" s="3" t="s">
        <v>8</v>
      </c>
      <c r="AT5" s="3" t="s">
        <v>22</v>
      </c>
      <c r="AU5" s="3" t="s">
        <v>12</v>
      </c>
      <c r="AV5" s="3" t="s">
        <v>22</v>
      </c>
      <c r="AW5" s="3" t="s">
        <v>12</v>
      </c>
      <c r="AX5" s="3" t="s">
        <v>12</v>
      </c>
      <c r="AY5" s="3" t="s">
        <v>24</v>
      </c>
      <c r="AZ5" s="3"/>
    </row>
    <row r="6" spans="1:52" x14ac:dyDescent="0.25">
      <c r="A6" s="2" t="s">
        <v>4</v>
      </c>
      <c r="B6" s="3" t="s">
        <v>9</v>
      </c>
      <c r="C6" s="3" t="s">
        <v>13</v>
      </c>
      <c r="D6" s="3" t="s">
        <v>9</v>
      </c>
      <c r="E6" s="3" t="s">
        <v>13</v>
      </c>
      <c r="F6" s="3" t="s">
        <v>9</v>
      </c>
      <c r="G6" s="3" t="s">
        <v>9</v>
      </c>
      <c r="H6" s="3" t="s">
        <v>9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9</v>
      </c>
      <c r="N6" s="3" t="s">
        <v>13</v>
      </c>
      <c r="O6" s="3" t="s">
        <v>9</v>
      </c>
      <c r="P6" s="3" t="s">
        <v>9</v>
      </c>
      <c r="Q6" s="3" t="s">
        <v>13</v>
      </c>
      <c r="R6" s="3" t="s">
        <v>13</v>
      </c>
      <c r="S6" s="3" t="s">
        <v>13</v>
      </c>
      <c r="T6" s="3" t="s">
        <v>13</v>
      </c>
      <c r="U6" s="3" t="s">
        <v>13</v>
      </c>
      <c r="V6" s="3" t="s">
        <v>13</v>
      </c>
      <c r="W6" s="3" t="s">
        <v>13</v>
      </c>
      <c r="X6" s="3" t="s">
        <v>13</v>
      </c>
      <c r="Y6" s="3" t="s">
        <v>9</v>
      </c>
      <c r="Z6" s="3" t="s">
        <v>13</v>
      </c>
      <c r="AA6" s="3" t="s">
        <v>13</v>
      </c>
      <c r="AB6" s="3" t="s">
        <v>9</v>
      </c>
      <c r="AC6" s="3" t="s">
        <v>13</v>
      </c>
      <c r="AD6" s="3" t="s">
        <v>9</v>
      </c>
      <c r="AE6" s="3" t="s">
        <v>9</v>
      </c>
      <c r="AF6" s="3" t="s">
        <v>13</v>
      </c>
      <c r="AG6" s="3" t="s">
        <v>9</v>
      </c>
      <c r="AH6" s="3" t="s">
        <v>9</v>
      </c>
      <c r="AI6" s="3" t="s">
        <v>9</v>
      </c>
      <c r="AJ6" s="3" t="s">
        <v>9</v>
      </c>
      <c r="AK6" s="3" t="s">
        <v>13</v>
      </c>
      <c r="AL6" s="3" t="s">
        <v>9</v>
      </c>
      <c r="AM6" s="3" t="s">
        <v>13</v>
      </c>
      <c r="AN6" s="3" t="s">
        <v>9</v>
      </c>
      <c r="AO6" s="3" t="s">
        <v>9</v>
      </c>
      <c r="AP6" s="3" t="s">
        <v>9</v>
      </c>
      <c r="AQ6" s="3" t="s">
        <v>9</v>
      </c>
      <c r="AR6" s="3" t="s">
        <v>13</v>
      </c>
      <c r="AS6" s="3" t="s">
        <v>13</v>
      </c>
      <c r="AT6" s="3" t="s">
        <v>9</v>
      </c>
      <c r="AU6" s="3" t="s">
        <v>9</v>
      </c>
      <c r="AV6" s="3" t="s">
        <v>13</v>
      </c>
      <c r="AW6" s="3" t="s">
        <v>9</v>
      </c>
      <c r="AX6" s="3" t="s">
        <v>9</v>
      </c>
      <c r="AY6" s="3" t="s">
        <v>9</v>
      </c>
      <c r="AZ6" s="3"/>
    </row>
    <row r="7" spans="1:52" x14ac:dyDescent="0.25">
      <c r="A7" s="2" t="s">
        <v>5</v>
      </c>
      <c r="B7" s="3">
        <v>38545</v>
      </c>
      <c r="C7" s="3">
        <v>91199</v>
      </c>
      <c r="D7" s="3">
        <v>59766</v>
      </c>
      <c r="E7" s="3">
        <v>86087</v>
      </c>
      <c r="F7" s="3">
        <v>93840</v>
      </c>
      <c r="G7" s="3">
        <v>79384</v>
      </c>
      <c r="H7" s="3">
        <v>76005</v>
      </c>
      <c r="I7" s="3">
        <v>71576</v>
      </c>
      <c r="J7" s="3">
        <v>64353</v>
      </c>
      <c r="K7" s="3">
        <v>87003</v>
      </c>
      <c r="L7" s="3">
        <v>77733</v>
      </c>
      <c r="M7" s="3">
        <v>90318</v>
      </c>
      <c r="N7" s="3">
        <v>48664</v>
      </c>
      <c r="O7" s="3">
        <v>92172</v>
      </c>
      <c r="P7" s="3">
        <v>51736</v>
      </c>
      <c r="Q7" s="3">
        <v>25854</v>
      </c>
      <c r="R7" s="3">
        <v>63623</v>
      </c>
      <c r="S7" s="3">
        <v>32392</v>
      </c>
      <c r="T7" s="3">
        <v>80680</v>
      </c>
      <c r="U7" s="3">
        <v>71717</v>
      </c>
      <c r="V7" s="3">
        <v>75859</v>
      </c>
      <c r="W7" s="3">
        <v>51309</v>
      </c>
      <c r="X7" s="3">
        <v>88734</v>
      </c>
      <c r="Y7" s="3">
        <v>77662</v>
      </c>
      <c r="Z7" s="3">
        <v>37688</v>
      </c>
      <c r="AA7" s="3">
        <v>50342</v>
      </c>
      <c r="AB7" s="3">
        <v>62157</v>
      </c>
      <c r="AC7" s="3">
        <v>92863</v>
      </c>
      <c r="AD7" s="3">
        <v>77083</v>
      </c>
      <c r="AE7" s="3">
        <v>90733</v>
      </c>
      <c r="AF7" s="3">
        <v>59698</v>
      </c>
      <c r="AG7" s="3">
        <v>47671</v>
      </c>
      <c r="AH7" s="3">
        <v>50184</v>
      </c>
      <c r="AI7" s="3">
        <v>67107</v>
      </c>
      <c r="AJ7" s="3">
        <v>76663</v>
      </c>
      <c r="AK7" s="3">
        <v>40708</v>
      </c>
      <c r="AL7" s="3">
        <v>74811</v>
      </c>
      <c r="AM7" s="3">
        <v>27811</v>
      </c>
      <c r="AN7" s="3">
        <v>81250</v>
      </c>
      <c r="AO7" s="3">
        <v>59754</v>
      </c>
      <c r="AP7" s="3">
        <v>36411</v>
      </c>
      <c r="AQ7" s="3">
        <v>27911</v>
      </c>
      <c r="AR7" s="3">
        <v>92270</v>
      </c>
      <c r="AS7" s="3">
        <v>33680</v>
      </c>
      <c r="AT7" s="3">
        <v>36111</v>
      </c>
      <c r="AU7" s="3">
        <v>62504</v>
      </c>
      <c r="AV7" s="3">
        <v>26802</v>
      </c>
      <c r="AW7" s="3">
        <v>33155</v>
      </c>
      <c r="AX7" s="3">
        <v>64384</v>
      </c>
      <c r="AY7" s="3">
        <v>72254</v>
      </c>
      <c r="AZ7" s="3"/>
    </row>
    <row r="9" spans="1:52" x14ac:dyDescent="0.25">
      <c r="B9" s="4" t="s">
        <v>75</v>
      </c>
    </row>
    <row r="10" spans="1:52" x14ac:dyDescent="0.25">
      <c r="B10">
        <f>HLOOKUP(1020,A1:AY7,7,FALSE)</f>
        <v>71717</v>
      </c>
    </row>
    <row r="12" spans="1:52" x14ac:dyDescent="0.25">
      <c r="B12" t="str">
        <f>HLOOKUP(1044,A1:AZ7,3,FALSE)</f>
        <v>HR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Employee_bonus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Saumya SHARMA</cp:lastModifiedBy>
  <dcterms:created xsi:type="dcterms:W3CDTF">2025-12-18T09:17:35Z</dcterms:created>
  <dcterms:modified xsi:type="dcterms:W3CDTF">2025-12-20T04:09:51Z</dcterms:modified>
</cp:coreProperties>
</file>