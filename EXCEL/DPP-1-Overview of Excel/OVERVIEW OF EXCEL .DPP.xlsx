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C\Downloads\supreet python\"/>
    </mc:Choice>
  </mc:AlternateContent>
  <xr:revisionPtr revIDLastSave="0" documentId="8_{3B94424B-58B3-45DA-B2C7-CF8587208426}" xr6:coauthVersionLast="47" xr6:coauthVersionMax="47" xr10:uidLastSave="{00000000-0000-0000-0000-000000000000}"/>
  <bookViews>
    <workbookView xWindow="-120" yWindow="-120" windowWidth="29040" windowHeight="15720" xr2:uid="{BD3BAD79-7A86-4B47-AF54-AA30AB7469DA}"/>
  </bookViews>
  <sheets>
    <sheet name="Sheet1" sheetId="1" r:id="rId1"/>
  </sheets>
  <definedNames>
    <definedName name="_xlnm._FilterDatabase" localSheetId="0" hidden="1">Sheet1!$E$57:$F$60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1" i="1" l="1" a="1"/>
  <c r="I111" i="1" s="1"/>
  <c r="J139" i="1"/>
  <c r="K125" i="1"/>
  <c r="I96" i="1"/>
  <c r="H82" i="1"/>
  <c r="H63" i="1"/>
  <c r="G37" i="1"/>
  <c r="G13" i="1"/>
</calcChain>
</file>

<file path=xl/sharedStrings.xml><?xml version="1.0" encoding="utf-8"?>
<sst xmlns="http://schemas.openxmlformats.org/spreadsheetml/2006/main" count="109" uniqueCount="70">
  <si>
    <t>ANSWER = 1</t>
  </si>
  <si>
    <t>Product</t>
  </si>
  <si>
    <t>Sales</t>
  </si>
  <si>
    <t>Product A</t>
  </si>
  <si>
    <t>Product B</t>
  </si>
  <si>
    <t>Product C</t>
  </si>
  <si>
    <t>Total sales of Product B and Product C</t>
  </si>
  <si>
    <t>ANSWER = 2</t>
  </si>
  <si>
    <t>COUNT(A1:A10)</t>
  </si>
  <si>
    <t>FORMULA</t>
  </si>
  <si>
    <t>ANSWER = 3</t>
  </si>
  <si>
    <t xml:space="preserve">STUDENT </t>
  </si>
  <si>
    <t xml:space="preserve">SCORE </t>
  </si>
  <si>
    <t>Alice</t>
  </si>
  <si>
    <t>Bob</t>
  </si>
  <si>
    <t>Charlie</t>
  </si>
  <si>
    <t>Average score of students</t>
  </si>
  <si>
    <t>SUM(E9:E10)</t>
  </si>
  <si>
    <t>AVERAGEIF(G23:G25,"&gt;80")</t>
  </si>
  <si>
    <t>ANSWER = 4</t>
  </si>
  <si>
    <t>Employee</t>
  </si>
  <si>
    <t>Dept</t>
  </si>
  <si>
    <t>Salary</t>
  </si>
  <si>
    <t>HR</t>
  </si>
  <si>
    <t>IT</t>
  </si>
  <si>
    <t xml:space="preserve"> HR department comes first (A-Z), and within HR, salaries are sorted from highest to lowest.</t>
  </si>
  <si>
    <t>ANSWER =  5</t>
  </si>
  <si>
    <t>Revenue</t>
  </si>
  <si>
    <t>Product      A</t>
  </si>
  <si>
    <t>Product      B</t>
  </si>
  <si>
    <t xml:space="preserve">Product     C </t>
  </si>
  <si>
    <t xml:space="preserve"> The second smallest value in the "Revenue" column:</t>
  </si>
  <si>
    <t>SMALL(F49:F51,2)</t>
  </si>
  <si>
    <t>ANSWER = 6</t>
  </si>
  <si>
    <t>The number of employees in the "Sales" departmen</t>
  </si>
  <si>
    <t xml:space="preserve">FORMULA </t>
  </si>
  <si>
    <t>COUNTIF(F69:F70,"Sales")</t>
  </si>
  <si>
    <t>ANSWER = 7</t>
  </si>
  <si>
    <t>ITEM</t>
  </si>
  <si>
    <t>UNIT SOLD</t>
  </si>
  <si>
    <t>ITEM      A</t>
  </si>
  <si>
    <t>ITEM      B</t>
  </si>
  <si>
    <t>ITEM      C</t>
  </si>
  <si>
    <t>The total sales only for items that sold more than 200 units:</t>
  </si>
  <si>
    <t>SUMIF(E83:E85,"&gt;200")</t>
  </si>
  <si>
    <t>ANSWER = 8</t>
  </si>
  <si>
    <t>PRICE</t>
  </si>
  <si>
    <t>AVAILBILITY</t>
  </si>
  <si>
    <t>AVAILABLE</t>
  </si>
  <si>
    <t>UNAVAILABLE</t>
  </si>
  <si>
    <t>The maximum price of items that are marked as "Available":</t>
  </si>
  <si>
    <t>ANSWER = 9</t>
  </si>
  <si>
    <t>count all employees earning above 5000 in 
the "HR" department</t>
  </si>
  <si>
    <t>is</t>
  </si>
  <si>
    <t>Only Bob meets both conditions</t>
  </si>
  <si>
    <t>COUNTIFS(F111:F114, "HR", G111:G114, "&gt;5000")</t>
  </si>
  <si>
    <t>ANSWER = 10</t>
  </si>
  <si>
    <t>SALES</t>
  </si>
  <si>
    <t>calculate the average sales of items priced above 100 but less than 
300:</t>
  </si>
  <si>
    <t>Only Item B and Item C meet the price condition</t>
  </si>
  <si>
    <t>AVERAGEIFS(G127:G129,F127:F129,"&gt;100",F127:F129,"&lt;300")</t>
  </si>
  <si>
    <t>Assignment Questions</t>
  </si>
  <si>
    <t>Overview of Excel</t>
  </si>
  <si>
    <t>Sorted Revenue values: 1200, 1500, 1800</t>
  </si>
  <si>
    <t>Second smallest = 1500</t>
  </si>
  <si>
    <t>This formula will return 2, because Bob and Charlie are in the Sales department</t>
  </si>
  <si>
    <t xml:space="preserve">So the formula adds: 300 + 250 = 550
</t>
  </si>
  <si>
    <t>So the formula compares 200 and 250 → returns 250</t>
  </si>
  <si>
    <t>to Z) and then salaries are sorted from highest to lowest.</t>
  </si>
  <si>
    <t>MAX(IF(G107:G109="AVAILABLE", F107:F109))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</si>
</sst>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 Unicode MS"/>
    </font>
    <font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0" borderId="0" xfId="0" applyFont="1"/>
    <xf numFmtId="0" fontId="2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0" fillId="3" borderId="0" xfId="0" applyFill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2" fillId="0" borderId="0" xfId="0" applyFont="1" applyAlignment="1">
      <alignment horizontal="center"/>
    </xf>
    <xf numFmtId="0" fontId="10" fillId="3" borderId="0" xfId="0" applyFont="1" applyFill="1"/>
    <xf numFmtId="0" fontId="6" fillId="3" borderId="0" xfId="0" applyFont="1" applyFill="1"/>
    <xf numFmtId="0" fontId="5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2" fillId="4" borderId="1" xfId="0" applyFont="1" applyFill="1" applyBorder="1"/>
    <xf numFmtId="0" fontId="2" fillId="5" borderId="1" xfId="0" applyFont="1" applyFill="1" applyBorder="1"/>
    <xf numFmtId="0" fontId="4" fillId="6" borderId="1" xfId="0" applyFont="1" applyFill="1" applyBorder="1"/>
    <xf numFmtId="0" fontId="3" fillId="6" borderId="1" xfId="0" applyFont="1" applyFill="1" applyBorder="1"/>
    <xf numFmtId="0" fontId="0" fillId="6" borderId="1" xfId="0" applyFill="1" applyBorder="1"/>
    <xf numFmtId="0" fontId="3" fillId="7" borderId="0" xfId="0" applyFont="1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82D9E-9E5C-480A-BB92-D4B88CDDA943}">
  <dimension ref="C1:N149"/>
  <sheetViews>
    <sheetView tabSelected="1" workbookViewId="0">
      <selection activeCell="I115" sqref="I115"/>
    </sheetView>
  </sheetViews>
  <sheetFormatPr defaultRowHeight="15"/>
  <cols>
    <col min="3" max="3" width="11.7109375" customWidth="1"/>
    <col min="4" max="4" width="13.85546875" customWidth="1"/>
    <col min="5" max="5" width="15.42578125" customWidth="1"/>
    <col min="6" max="6" width="18.42578125" customWidth="1"/>
    <col min="7" max="7" width="18.28515625" customWidth="1"/>
    <col min="9" max="9" width="17.7109375" customWidth="1"/>
    <col min="10" max="10" width="18.42578125" customWidth="1"/>
  </cols>
  <sheetData>
    <row r="1" spans="3:10" ht="24" customHeight="1">
      <c r="H1" s="13" t="s">
        <v>61</v>
      </c>
      <c r="I1" s="13"/>
      <c r="J1" s="8"/>
    </row>
    <row r="2" spans="3:10" ht="24" customHeight="1">
      <c r="H2" s="13" t="s">
        <v>62</v>
      </c>
      <c r="I2" s="14"/>
      <c r="J2" s="8"/>
    </row>
    <row r="4" spans="3:10" ht="16.899999999999999" customHeight="1"/>
    <row r="5" spans="3:10" ht="18.75">
      <c r="C5" s="6" t="s">
        <v>0</v>
      </c>
      <c r="D5" s="7"/>
    </row>
    <row r="6" spans="3:10" ht="15.75" thickBot="1"/>
    <row r="7" spans="3:10" ht="20.25" thickTop="1" thickBot="1">
      <c r="D7" s="17" t="s">
        <v>1</v>
      </c>
      <c r="E7" s="17" t="s">
        <v>2</v>
      </c>
    </row>
    <row r="8" spans="3:10" ht="17.25" thickTop="1" thickBot="1">
      <c r="D8" s="19" t="s">
        <v>3</v>
      </c>
      <c r="E8" s="19">
        <v>150</v>
      </c>
    </row>
    <row r="9" spans="3:10" ht="17.25" thickTop="1" thickBot="1">
      <c r="D9" s="19" t="s">
        <v>4</v>
      </c>
      <c r="E9" s="19">
        <v>300</v>
      </c>
    </row>
    <row r="10" spans="3:10" ht="17.25" thickTop="1" thickBot="1">
      <c r="D10" s="19" t="s">
        <v>5</v>
      </c>
      <c r="E10" s="19">
        <v>450</v>
      </c>
    </row>
    <row r="11" spans="3:10" ht="15.75" thickTop="1"/>
    <row r="13" spans="3:10" ht="18.75">
      <c r="D13" s="2" t="s">
        <v>6</v>
      </c>
      <c r="E13" s="2"/>
      <c r="F13" s="2"/>
      <c r="G13" s="5">
        <f>SUM(E9:E10)</f>
        <v>750</v>
      </c>
    </row>
    <row r="15" spans="3:10" ht="18.75">
      <c r="D15" s="2" t="s">
        <v>9</v>
      </c>
      <c r="E15" s="5" t="s">
        <v>17</v>
      </c>
      <c r="F15" s="3"/>
    </row>
    <row r="20" spans="3:6" ht="19.149999999999999" customHeight="1">
      <c r="C20" s="6" t="s">
        <v>7</v>
      </c>
      <c r="D20" s="8"/>
    </row>
    <row r="22" spans="3:6" ht="18.75">
      <c r="C22" s="2" t="s">
        <v>9</v>
      </c>
      <c r="D22" s="5" t="s">
        <v>8</v>
      </c>
      <c r="E22" s="3"/>
    </row>
    <row r="24" spans="3:6">
      <c r="C24" s="15"/>
    </row>
    <row r="25" spans="3:6">
      <c r="C25" s="15"/>
    </row>
    <row r="26" spans="3:6">
      <c r="C26" s="15"/>
    </row>
    <row r="27" spans="3:6">
      <c r="C27" s="15"/>
    </row>
    <row r="28" spans="3:6">
      <c r="C28" s="16"/>
    </row>
    <row r="29" spans="3:6" ht="18.75">
      <c r="C29" s="6" t="s">
        <v>10</v>
      </c>
      <c r="D29" s="8"/>
    </row>
    <row r="30" spans="3:6" ht="15.75" thickBot="1"/>
    <row r="31" spans="3:6" ht="20.25" thickTop="1" thickBot="1">
      <c r="E31" s="18" t="s">
        <v>11</v>
      </c>
      <c r="F31" s="18" t="s">
        <v>12</v>
      </c>
    </row>
    <row r="32" spans="3:6" ht="17.25" thickTop="1" thickBot="1">
      <c r="E32" s="19" t="s">
        <v>13</v>
      </c>
      <c r="F32" s="19">
        <v>85</v>
      </c>
    </row>
    <row r="33" spans="3:14" ht="17.25" thickTop="1" thickBot="1">
      <c r="E33" s="19" t="s">
        <v>14</v>
      </c>
      <c r="F33" s="19">
        <v>75</v>
      </c>
    </row>
    <row r="34" spans="3:14" ht="17.25" thickTop="1" thickBot="1">
      <c r="E34" s="19" t="s">
        <v>15</v>
      </c>
      <c r="F34" s="19">
        <v>90</v>
      </c>
    </row>
    <row r="35" spans="3:14" ht="15.75" thickTop="1"/>
    <row r="37" spans="3:14" ht="18.75">
      <c r="E37" s="2" t="s">
        <v>16</v>
      </c>
      <c r="F37" s="2"/>
      <c r="G37" s="5">
        <f>AVERAGEIF(F32:F34,"&gt;80")</f>
        <v>87.5</v>
      </c>
    </row>
    <row r="39" spans="3:14" ht="18.75">
      <c r="E39" s="2" t="s">
        <v>9</v>
      </c>
      <c r="F39" s="5" t="s">
        <v>18</v>
      </c>
      <c r="G39" s="5"/>
    </row>
    <row r="43" spans="3:14" ht="21">
      <c r="C43" s="9" t="s">
        <v>19</v>
      </c>
      <c r="D43" s="8"/>
    </row>
    <row r="45" spans="3:14" ht="15.75" thickBot="1"/>
    <row r="46" spans="3:14" ht="20.25" thickTop="1" thickBot="1">
      <c r="E46" s="18" t="s">
        <v>20</v>
      </c>
      <c r="F46" s="18" t="s">
        <v>21</v>
      </c>
      <c r="G46" s="18" t="s">
        <v>22</v>
      </c>
    </row>
    <row r="47" spans="3:14" ht="20.25" thickTop="1" thickBot="1">
      <c r="E47" s="20" t="s">
        <v>14</v>
      </c>
      <c r="F47" s="20" t="s">
        <v>24</v>
      </c>
      <c r="G47" s="20">
        <v>8000</v>
      </c>
    </row>
    <row r="48" spans="3:14" ht="20.25" thickTop="1" thickBot="1">
      <c r="E48" s="20" t="s">
        <v>13</v>
      </c>
      <c r="F48" s="20" t="s">
        <v>23</v>
      </c>
      <c r="G48" s="20">
        <v>5000</v>
      </c>
      <c r="K48" s="1"/>
      <c r="L48" s="1"/>
      <c r="M48" s="1"/>
      <c r="N48" s="1"/>
    </row>
    <row r="49" spans="3:10" ht="20.25" thickTop="1" thickBot="1">
      <c r="E49" s="20" t="s">
        <v>15</v>
      </c>
      <c r="F49" s="20" t="s">
        <v>23</v>
      </c>
      <c r="G49" s="20">
        <v>4500</v>
      </c>
      <c r="J49" s="1"/>
    </row>
    <row r="50" spans="3:10" ht="15.75" thickTop="1"/>
    <row r="51" spans="3:10" ht="18.75">
      <c r="E51" s="2" t="s">
        <v>25</v>
      </c>
      <c r="F51" s="1"/>
      <c r="G51" s="2" t="s">
        <v>68</v>
      </c>
      <c r="I51" s="1"/>
    </row>
    <row r="52" spans="3:10">
      <c r="G52" s="1"/>
      <c r="H52" s="1"/>
    </row>
    <row r="55" spans="3:10" ht="18.75">
      <c r="C55" s="6" t="s">
        <v>26</v>
      </c>
      <c r="D55" s="8"/>
    </row>
    <row r="56" spans="3:10" ht="15.75" thickBot="1"/>
    <row r="57" spans="3:10" ht="20.25" thickTop="1" thickBot="1">
      <c r="E57" s="18" t="s">
        <v>1</v>
      </c>
      <c r="F57" s="18" t="s">
        <v>27</v>
      </c>
      <c r="G57" s="22"/>
    </row>
    <row r="58" spans="3:10" ht="20.25" thickTop="1" thickBot="1">
      <c r="E58" s="20" t="s">
        <v>29</v>
      </c>
      <c r="F58" s="20">
        <v>1200</v>
      </c>
    </row>
    <row r="59" spans="3:10" ht="20.25" thickTop="1" thickBot="1">
      <c r="E59" s="20" t="s">
        <v>28</v>
      </c>
      <c r="F59" s="20">
        <v>1500</v>
      </c>
    </row>
    <row r="60" spans="3:10" ht="20.25" thickTop="1" thickBot="1">
      <c r="E60" s="20" t="s">
        <v>30</v>
      </c>
      <c r="F60" s="20">
        <v>1800</v>
      </c>
    </row>
    <row r="61" spans="3:10" ht="15.75" thickTop="1"/>
    <row r="63" spans="3:10" ht="18.75">
      <c r="D63" s="2" t="s">
        <v>31</v>
      </c>
      <c r="E63" s="4"/>
      <c r="F63" s="4"/>
      <c r="G63" s="4"/>
      <c r="H63" s="5">
        <f>SMALL(F58:F60,2)</f>
        <v>1500</v>
      </c>
    </row>
    <row r="64" spans="3:10" ht="15.75">
      <c r="D64" s="10"/>
    </row>
    <row r="65" spans="3:8" ht="18.75">
      <c r="D65" s="2" t="s">
        <v>63</v>
      </c>
      <c r="E65" s="2"/>
      <c r="F65" s="2"/>
    </row>
    <row r="66" spans="3:8" ht="18.75">
      <c r="D66" s="2" t="s">
        <v>64</v>
      </c>
      <c r="E66" s="2"/>
    </row>
    <row r="67" spans="3:8" ht="15.75">
      <c r="D67" s="10"/>
    </row>
    <row r="68" spans="3:8" ht="18.75">
      <c r="D68" s="2"/>
      <c r="E68" s="2"/>
      <c r="F68" s="2"/>
      <c r="G68" s="2"/>
      <c r="H68" s="2"/>
    </row>
    <row r="69" spans="3:8" ht="18.75">
      <c r="D69" s="2" t="s">
        <v>9</v>
      </c>
      <c r="E69" s="5" t="s">
        <v>32</v>
      </c>
      <c r="F69" s="5"/>
    </row>
    <row r="74" spans="3:8" ht="18.75">
      <c r="C74" s="6" t="s">
        <v>33</v>
      </c>
      <c r="D74" s="8"/>
      <c r="G74" s="10"/>
    </row>
    <row r="76" spans="3:8" ht="15.75" thickBot="1"/>
    <row r="77" spans="3:8" ht="20.25" thickTop="1" thickBot="1">
      <c r="E77" s="18" t="s">
        <v>20</v>
      </c>
      <c r="F77" s="18" t="s">
        <v>21</v>
      </c>
    </row>
    <row r="78" spans="3:8" ht="20.25" thickTop="1" thickBot="1">
      <c r="E78" s="20" t="s">
        <v>13</v>
      </c>
      <c r="F78" s="20" t="s">
        <v>24</v>
      </c>
    </row>
    <row r="79" spans="3:8" ht="20.25" thickTop="1" thickBot="1">
      <c r="E79" s="20" t="s">
        <v>15</v>
      </c>
      <c r="F79" s="20" t="s">
        <v>2</v>
      </c>
    </row>
    <row r="80" spans="3:8" ht="20.25" thickTop="1" thickBot="1">
      <c r="E80" s="20" t="s">
        <v>14</v>
      </c>
      <c r="F80" s="20" t="s">
        <v>2</v>
      </c>
    </row>
    <row r="81" spans="3:9" ht="15.75" thickTop="1"/>
    <row r="82" spans="3:9" ht="18.75">
      <c r="D82" s="11" t="s">
        <v>34</v>
      </c>
      <c r="H82" s="5">
        <f>COUNTIF(F79:F80,"Sales")</f>
        <v>2</v>
      </c>
    </row>
    <row r="84" spans="3:9" ht="18.75">
      <c r="D84" s="2" t="s">
        <v>65</v>
      </c>
      <c r="E84" s="2"/>
      <c r="F84" s="2"/>
      <c r="G84" s="2"/>
      <c r="H84" s="2"/>
    </row>
    <row r="86" spans="3:9" ht="18.75">
      <c r="D86" s="2" t="s">
        <v>35</v>
      </c>
      <c r="E86" s="5" t="s">
        <v>36</v>
      </c>
      <c r="F86" s="3"/>
      <c r="G86" s="3"/>
    </row>
    <row r="88" spans="3:9" ht="18.75">
      <c r="G88" s="4"/>
      <c r="H88" s="4"/>
      <c r="I88" s="3"/>
    </row>
    <row r="89" spans="3:9" ht="18.75">
      <c r="C89" s="6" t="s">
        <v>37</v>
      </c>
      <c r="D89" s="8"/>
    </row>
    <row r="90" spans="3:9" ht="15.75" thickBot="1"/>
    <row r="91" spans="3:9" ht="20.25" thickTop="1" thickBot="1">
      <c r="E91" s="18" t="s">
        <v>38</v>
      </c>
      <c r="F91" s="18" t="s">
        <v>39</v>
      </c>
    </row>
    <row r="92" spans="3:9" ht="16.5" thickTop="1" thickBot="1">
      <c r="E92" s="21" t="s">
        <v>40</v>
      </c>
      <c r="F92" s="21">
        <v>150</v>
      </c>
    </row>
    <row r="93" spans="3:9" ht="16.5" thickTop="1" thickBot="1">
      <c r="E93" s="21" t="s">
        <v>41</v>
      </c>
      <c r="F93" s="21">
        <v>300</v>
      </c>
    </row>
    <row r="94" spans="3:9" ht="16.5" thickTop="1" thickBot="1">
      <c r="E94" s="21" t="s">
        <v>42</v>
      </c>
      <c r="F94" s="21">
        <v>250</v>
      </c>
    </row>
    <row r="95" spans="3:9" ht="15.75" thickTop="1"/>
    <row r="96" spans="3:9" ht="18.75">
      <c r="D96" s="11" t="s">
        <v>43</v>
      </c>
      <c r="I96" s="5">
        <f>SUMIF(F92:F94,"&gt;200")</f>
        <v>550</v>
      </c>
    </row>
    <row r="98" spans="3:9" ht="18.75">
      <c r="D98" s="2" t="s">
        <v>66</v>
      </c>
      <c r="E98" s="2"/>
      <c r="F98" s="2"/>
    </row>
    <row r="100" spans="3:9" ht="18.75">
      <c r="D100" s="2" t="s">
        <v>9</v>
      </c>
      <c r="E100" s="5" t="s">
        <v>44</v>
      </c>
      <c r="F100" s="5"/>
    </row>
    <row r="102" spans="3:9" ht="18.75">
      <c r="E102" s="2"/>
      <c r="F102" s="2"/>
    </row>
    <row r="103" spans="3:9" ht="18.75">
      <c r="C103" s="6" t="s">
        <v>45</v>
      </c>
      <c r="D103" s="8"/>
      <c r="G103" s="2"/>
    </row>
    <row r="105" spans="3:9" ht="15.75" thickBot="1"/>
    <row r="106" spans="3:9" ht="20.25" thickTop="1" thickBot="1">
      <c r="E106" s="18" t="s">
        <v>38</v>
      </c>
      <c r="F106" s="18" t="s">
        <v>46</v>
      </c>
      <c r="G106" s="18" t="s">
        <v>47</v>
      </c>
    </row>
    <row r="107" spans="3:9" ht="20.25" thickTop="1" thickBot="1">
      <c r="E107" s="21" t="s">
        <v>40</v>
      </c>
      <c r="F107" s="20">
        <v>200</v>
      </c>
      <c r="G107" s="20" t="s">
        <v>48</v>
      </c>
    </row>
    <row r="108" spans="3:9" ht="20.25" thickTop="1" thickBot="1">
      <c r="E108" s="21" t="s">
        <v>41</v>
      </c>
      <c r="F108" s="20">
        <v>150</v>
      </c>
      <c r="G108" s="20" t="s">
        <v>49</v>
      </c>
    </row>
    <row r="109" spans="3:9" ht="20.25" thickTop="1" thickBot="1">
      <c r="E109" s="21" t="s">
        <v>42</v>
      </c>
      <c r="F109" s="20">
        <v>250</v>
      </c>
      <c r="G109" s="20" t="s">
        <v>48</v>
      </c>
    </row>
    <row r="110" spans="3:9" ht="15.75" thickTop="1"/>
    <row r="111" spans="3:9" ht="18.75">
      <c r="D111" s="2" t="s">
        <v>50</v>
      </c>
      <c r="I111" s="23">
        <f t="array" ref="I111">MAX(IF(G107:G109="AVAILABLE", F107:F109))</f>
        <v>250</v>
      </c>
    </row>
    <row r="113" spans="3:11" ht="18.75">
      <c r="D113" s="2" t="s">
        <v>67</v>
      </c>
      <c r="E113" s="2"/>
      <c r="F113" s="2"/>
      <c r="G113" s="2"/>
    </row>
    <row r="115" spans="3:11" ht="18.75">
      <c r="D115" s="2" t="s">
        <v>9</v>
      </c>
      <c r="E115" s="5" t="s">
        <v>69</v>
      </c>
      <c r="F115" s="5"/>
      <c r="G115" s="5"/>
    </row>
    <row r="117" spans="3:11" ht="18.75">
      <c r="E117" s="2"/>
      <c r="F117" s="2"/>
    </row>
    <row r="118" spans="3:11" ht="18.75">
      <c r="C118" s="6" t="s">
        <v>51</v>
      </c>
      <c r="D118" s="7"/>
      <c r="G118" s="2"/>
    </row>
    <row r="119" spans="3:11" ht="15.75" thickBot="1"/>
    <row r="120" spans="3:11" ht="20.25" thickTop="1" thickBot="1">
      <c r="E120" s="18" t="s">
        <v>20</v>
      </c>
      <c r="F120" s="18" t="s">
        <v>21</v>
      </c>
      <c r="G120" s="18" t="s">
        <v>22</v>
      </c>
    </row>
    <row r="121" spans="3:11" ht="20.25" thickTop="1" thickBot="1">
      <c r="E121" s="20" t="s">
        <v>13</v>
      </c>
      <c r="F121" s="20" t="s">
        <v>23</v>
      </c>
      <c r="G121" s="20">
        <v>4000</v>
      </c>
    </row>
    <row r="122" spans="3:11" ht="20.25" thickTop="1" thickBot="1">
      <c r="E122" s="20" t="s">
        <v>15</v>
      </c>
      <c r="F122" s="20" t="s">
        <v>24</v>
      </c>
      <c r="G122" s="20">
        <v>6000</v>
      </c>
    </row>
    <row r="123" spans="3:11" ht="20.25" thickTop="1" thickBot="1">
      <c r="E123" s="20" t="s">
        <v>14</v>
      </c>
      <c r="F123" s="20" t="s">
        <v>23</v>
      </c>
      <c r="G123" s="20">
        <v>5500</v>
      </c>
    </row>
    <row r="124" spans="3:11" ht="15.75" thickTop="1"/>
    <row r="125" spans="3:11" ht="18.75">
      <c r="G125" s="12" t="s">
        <v>52</v>
      </c>
      <c r="H125" s="2"/>
      <c r="J125" s="2" t="s">
        <v>53</v>
      </c>
      <c r="K125" s="5">
        <f>COUNTIFS(F120:F123, "HR", G120:G123, "&gt;5000")</f>
        <v>1</v>
      </c>
    </row>
    <row r="128" spans="3:11" ht="18.75">
      <c r="E128" s="2" t="s">
        <v>54</v>
      </c>
      <c r="F128" s="2"/>
    </row>
    <row r="130" spans="3:10" ht="18.75">
      <c r="E130" s="2" t="s">
        <v>9</v>
      </c>
      <c r="F130" s="5" t="s">
        <v>55</v>
      </c>
      <c r="G130" s="5"/>
      <c r="H130" s="5"/>
      <c r="I130" s="5"/>
    </row>
    <row r="133" spans="3:10" ht="19.5" thickBot="1">
      <c r="C133" s="6" t="s">
        <v>56</v>
      </c>
      <c r="D133" s="8"/>
      <c r="G133" s="2"/>
    </row>
    <row r="134" spans="3:10" ht="20.25" thickTop="1" thickBot="1">
      <c r="E134" s="18" t="s">
        <v>38</v>
      </c>
      <c r="F134" s="18" t="s">
        <v>46</v>
      </c>
      <c r="G134" s="18" t="s">
        <v>57</v>
      </c>
    </row>
    <row r="135" spans="3:10" ht="20.25" thickTop="1" thickBot="1">
      <c r="E135" s="21" t="s">
        <v>40</v>
      </c>
      <c r="F135" s="20">
        <v>90</v>
      </c>
      <c r="G135" s="20">
        <v>1000</v>
      </c>
    </row>
    <row r="136" spans="3:10" ht="20.25" thickTop="1" thickBot="1">
      <c r="E136" s="21" t="s">
        <v>41</v>
      </c>
      <c r="F136" s="20">
        <v>150</v>
      </c>
      <c r="G136" s="20">
        <v>1200</v>
      </c>
    </row>
    <row r="137" spans="3:10" ht="20.25" thickTop="1" thickBot="1">
      <c r="E137" s="21" t="s">
        <v>42</v>
      </c>
      <c r="F137" s="20">
        <v>250</v>
      </c>
      <c r="G137" s="20">
        <v>1500</v>
      </c>
    </row>
    <row r="138" spans="3:10" ht="15.75" thickTop="1"/>
    <row r="139" spans="3:10" ht="18.75">
      <c r="D139" s="2" t="s">
        <v>58</v>
      </c>
      <c r="J139" s="5">
        <f>AVERAGEIFS(G135:G137,F135:F137,"&gt;100",F135:F137,"&lt;300")</f>
        <v>1350</v>
      </c>
    </row>
    <row r="141" spans="3:10" ht="18.75">
      <c r="D141" s="2" t="s">
        <v>59</v>
      </c>
      <c r="E141" s="2"/>
      <c r="F141" s="2"/>
    </row>
    <row r="142" spans="3:10" ht="18.75">
      <c r="G142" s="2"/>
      <c r="H142" s="2"/>
    </row>
    <row r="143" spans="3:10" ht="18.75">
      <c r="D143" s="2" t="s">
        <v>9</v>
      </c>
      <c r="E143" s="5" t="s">
        <v>60</v>
      </c>
      <c r="F143" s="5"/>
      <c r="G143" s="5"/>
      <c r="H143" s="5"/>
      <c r="I143" s="5"/>
    </row>
    <row r="149" spans="7:7" ht="18.75">
      <c r="G149" s="2"/>
    </row>
  </sheetData>
  <autoFilter ref="E57:F60" xr:uid="{86F82D9E-9E5C-480A-BB92-D4B88CDDA943}">
    <sortState xmlns:xlrd2="http://schemas.microsoft.com/office/spreadsheetml/2017/richdata2" ref="E58:F60">
      <sortCondition ref="F57:F60"/>
    </sortState>
  </autoFilter>
  <sortState xmlns:xlrd2="http://schemas.microsoft.com/office/spreadsheetml/2017/richdata2" ref="E47:G49">
    <sortCondition ref="F47:F49"/>
    <sortCondition descending="1" ref="G47:G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gautam</dc:creator>
  <cp:lastModifiedBy>Saumya SHARMA</cp:lastModifiedBy>
  <dcterms:created xsi:type="dcterms:W3CDTF">2025-10-31T11:28:30Z</dcterms:created>
  <dcterms:modified xsi:type="dcterms:W3CDTF">2025-11-01T15:46:47Z</dcterms:modified>
</cp:coreProperties>
</file>