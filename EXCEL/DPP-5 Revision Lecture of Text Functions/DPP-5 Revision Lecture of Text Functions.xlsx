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supreet python\"/>
    </mc:Choice>
  </mc:AlternateContent>
  <xr:revisionPtr revIDLastSave="0" documentId="13_ncr:1_{187F432A-C6A5-43F9-A716-8C58452B9F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L2" i="1" l="1"/>
  <c r="O2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H2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" i="1"/>
  <c r="H3" i="1"/>
  <c r="H4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2" i="1"/>
  <c r="M2" i="1" l="1"/>
</calcChain>
</file>

<file path=xl/sharedStrings.xml><?xml version="1.0" encoding="utf-8"?>
<sst xmlns="http://schemas.openxmlformats.org/spreadsheetml/2006/main" count="290" uniqueCount="63">
  <si>
    <t>Name</t>
  </si>
  <si>
    <t>Address</t>
  </si>
  <si>
    <t>Email</t>
  </si>
  <si>
    <t>Product</t>
  </si>
  <si>
    <t>Code</t>
  </si>
  <si>
    <t>frank castle</t>
  </si>
  <si>
    <t>22 valley view</t>
  </si>
  <si>
    <t>charlie@ yahoo.com</t>
  </si>
  <si>
    <t>mouse</t>
  </si>
  <si>
    <t>P-002</t>
  </si>
  <si>
    <t>alice smith</t>
  </si>
  <si>
    <t>11 high way</t>
  </si>
  <si>
    <t>jack.reacher@ gmail.com</t>
  </si>
  <si>
    <t>Laptop</t>
  </si>
  <si>
    <t>P -003</t>
  </si>
  <si>
    <t>diana Prince</t>
  </si>
  <si>
    <t>45 King ROAD</t>
  </si>
  <si>
    <t>camera</t>
  </si>
  <si>
    <t>diana_prince @outlook.com</t>
  </si>
  <si>
    <t>speaker</t>
  </si>
  <si>
    <t>P-009</t>
  </si>
  <si>
    <t>HENRY ford</t>
  </si>
  <si>
    <t>67 sunset blvd</t>
  </si>
  <si>
    <t>Monitor</t>
  </si>
  <si>
    <t>JACK Reacher</t>
  </si>
  <si>
    <t>tv</t>
  </si>
  <si>
    <t>P-006</t>
  </si>
  <si>
    <t>keyboard</t>
  </si>
  <si>
    <t>eve.adams@ hotmail.com</t>
  </si>
  <si>
    <t>P -005</t>
  </si>
  <si>
    <t>cHarLie Brown</t>
  </si>
  <si>
    <t>34 hill top</t>
  </si>
  <si>
    <t>bob@gmail .com</t>
  </si>
  <si>
    <t>P- 001</t>
  </si>
  <si>
    <t>EVE ADAMS</t>
  </si>
  <si>
    <t>Tablet</t>
  </si>
  <si>
    <t>grace hopper</t>
  </si>
  <si>
    <t>90 marketstreet</t>
  </si>
  <si>
    <t>isABEL Lewis</t>
  </si>
  <si>
    <t>89 river rd</t>
  </si>
  <si>
    <t>grace.hopper@gmail .com</t>
  </si>
  <si>
    <t>BOB johnson</t>
  </si>
  <si>
    <t>78 queen ave</t>
  </si>
  <si>
    <t>isabel.lewis @outlook.com</t>
  </si>
  <si>
    <t>12 main st</t>
  </si>
  <si>
    <t>mobile</t>
  </si>
  <si>
    <t>56 low street</t>
  </si>
  <si>
    <t>alice @gmail.com</t>
  </si>
  <si>
    <t>P-004</t>
  </si>
  <si>
    <t>HeadPhones</t>
  </si>
  <si>
    <t>P-010</t>
  </si>
  <si>
    <t>P -008</t>
  </si>
  <si>
    <t>45 King road</t>
  </si>
  <si>
    <t>P-007</t>
  </si>
  <si>
    <t>frank.castle @gmail.com</t>
  </si>
  <si>
    <t>Last Name</t>
  </si>
  <si>
    <t>Proper</t>
  </si>
  <si>
    <t>First Name</t>
  </si>
  <si>
    <t>Email cleaned</t>
  </si>
  <si>
    <t>Domain</t>
  </si>
  <si>
    <t>PRODUCT</t>
  </si>
  <si>
    <t>Numeric_only</t>
  </si>
  <si>
    <t>Name_code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</si>
</sst>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b/>
      <sz val="11"/>
      <color rgb="FF000000"/>
      <name val="&quot;Aptos Narrow&quot;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56"/>
  <sheetViews>
    <sheetView tabSelected="1" workbookViewId="0">
      <selection activeCell="P5" sqref="P5"/>
    </sheetView>
  </sheetViews>
  <sheetFormatPr defaultColWidth="12.5703125" defaultRowHeight="15.75" customHeight="1"/>
  <cols>
    <col min="1" max="1" width="15.85546875" customWidth="1"/>
    <col min="2" max="2" width="17.85546875" customWidth="1"/>
    <col min="3" max="3" width="29.28515625" customWidth="1"/>
    <col min="4" max="4" width="14.85546875" customWidth="1"/>
    <col min="6" max="6" width="14.85546875" customWidth="1"/>
    <col min="8" max="8" width="17.42578125" customWidth="1"/>
    <col min="9" max="9" width="25.28515625" customWidth="1"/>
    <col min="10" max="10" width="17.140625" customWidth="1"/>
    <col min="11" max="11" width="16" customWidth="1"/>
    <col min="13" max="13" width="15.42578125" customWidth="1"/>
  </cols>
  <sheetData>
    <row r="1" spans="1:16" ht="15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56</v>
      </c>
      <c r="G1" s="3" t="s">
        <v>57</v>
      </c>
      <c r="H1" s="3" t="s">
        <v>55</v>
      </c>
      <c r="I1" s="3" t="s">
        <v>58</v>
      </c>
      <c r="J1" s="3" t="s">
        <v>59</v>
      </c>
      <c r="K1" s="3" t="s">
        <v>60</v>
      </c>
      <c r="L1" s="3" t="s">
        <v>4</v>
      </c>
      <c r="M1" s="3" t="s">
        <v>61</v>
      </c>
      <c r="N1" s="3" t="s">
        <v>1</v>
      </c>
      <c r="O1" s="4" t="s">
        <v>62</v>
      </c>
      <c r="P1" s="4"/>
    </row>
    <row r="2" spans="1:16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t="str">
        <f>PROPER(TRIM(A2))</f>
        <v>Frank Castle</v>
      </c>
      <c r="G2" t="str">
        <f>LEFT(F2, FIND(" ", F2 &amp; " ") - 1)</f>
        <v>Frank</v>
      </c>
      <c r="H2" t="str">
        <f>MID(F2, FIND(" ", F2) + 1, LEN(F2))</f>
        <v>Castle</v>
      </c>
      <c r="I2" t="str">
        <f>LOWER(SUBSTITUTE(TRIM(C2)," ",""))</f>
        <v>charlie@yahoo.com</v>
      </c>
      <c r="J2" t="str">
        <f>MID(I2,FIND("@",I2,1),LEN(I2))</f>
        <v>@yahoo.com</v>
      </c>
      <c r="K2" t="str">
        <f>UPPER(D2)</f>
        <v>MOUSE</v>
      </c>
      <c r="L2" t="str">
        <f>UPPER(SUBSTITUTE(TRIM(E2)," ",""))</f>
        <v>P-002</v>
      </c>
      <c r="M2" t="str">
        <f>MID(L2,3,LEN(L2))</f>
        <v>002</v>
      </c>
      <c r="N2" t="str">
        <f>IF(ISNUMBER(SEARCH("road",B2)),"Yes","No")</f>
        <v>No</v>
      </c>
      <c r="O2" t="str">
        <f>G2&amp;"_"&amp;RIGHT(L2,3)</f>
        <v>Frank_002</v>
      </c>
    </row>
    <row r="3" spans="1:16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t="str">
        <f t="shared" ref="F3:F56" si="0">PROPER(TRIM(A3))</f>
        <v>Alice Smith</v>
      </c>
      <c r="G3" t="str">
        <f t="shared" ref="G3:G56" si="1">LEFT(F3, FIND(" ", F3 &amp; " ") - 1)</f>
        <v>Alice</v>
      </c>
      <c r="H3" t="str">
        <f t="shared" ref="H3:H4" si="2">MID(F3, FIND(" ", F3) + 1, LEN(F3))</f>
        <v>Smith</v>
      </c>
      <c r="I3" t="str">
        <f t="shared" ref="I3:I56" si="3">LOWER(SUBSTITUTE(TRIM(C3)," ",""))</f>
        <v>jack.reacher@gmail.com</v>
      </c>
      <c r="J3" t="str">
        <f t="shared" ref="J3:J56" si="4">MID(I3,FIND("@",I3,1),LEN(I3))</f>
        <v>@gmail.com</v>
      </c>
      <c r="K3" t="str">
        <f t="shared" ref="K3:K56" si="5">UPPER(D3)</f>
        <v>LAPTOP</v>
      </c>
      <c r="L3" t="str">
        <f t="shared" ref="L3:L56" si="6">UPPER(SUBSTITUTE(TRIM(E3)," ",""))</f>
        <v>P-003</v>
      </c>
      <c r="M3" t="str">
        <f t="shared" ref="M3:M56" si="7">MID(L3,3,LEN(L3))</f>
        <v>003</v>
      </c>
      <c r="N3" t="str">
        <f t="shared" ref="N3:N56" si="8">IF(ISNUMBER(SEARCH("road",B3)),"Yes","No")</f>
        <v>No</v>
      </c>
      <c r="O3" t="str">
        <f t="shared" ref="O3:O56" si="9">G3&amp;"_"&amp;RIGHT(L3,3)</f>
        <v>Alice_003</v>
      </c>
    </row>
    <row r="4" spans="1:16">
      <c r="A4" s="2" t="s">
        <v>15</v>
      </c>
      <c r="B4" s="1" t="s">
        <v>16</v>
      </c>
      <c r="C4" s="1" t="s">
        <v>7</v>
      </c>
      <c r="D4" s="1" t="s">
        <v>17</v>
      </c>
      <c r="E4" s="1" t="s">
        <v>14</v>
      </c>
      <c r="F4" t="str">
        <f t="shared" si="0"/>
        <v>Diana Prince</v>
      </c>
      <c r="G4" t="str">
        <f t="shared" si="1"/>
        <v>Diana</v>
      </c>
      <c r="H4" t="str">
        <f t="shared" si="2"/>
        <v>Prince</v>
      </c>
      <c r="I4" t="str">
        <f t="shared" si="3"/>
        <v>charlie@yahoo.com</v>
      </c>
      <c r="J4" t="str">
        <f t="shared" si="4"/>
        <v>@yahoo.com</v>
      </c>
      <c r="K4" t="str">
        <f t="shared" si="5"/>
        <v>CAMERA</v>
      </c>
      <c r="L4" t="str">
        <f t="shared" si="6"/>
        <v>P-003</v>
      </c>
      <c r="M4" t="str">
        <f t="shared" si="7"/>
        <v>003</v>
      </c>
      <c r="N4" t="str">
        <f t="shared" si="8"/>
        <v>Yes</v>
      </c>
      <c r="O4" t="str">
        <f t="shared" si="9"/>
        <v>Diana_003</v>
      </c>
    </row>
    <row r="5" spans="1:16">
      <c r="A5" s="2" t="s">
        <v>15</v>
      </c>
      <c r="B5" s="1" t="s">
        <v>11</v>
      </c>
      <c r="C5" s="1" t="s">
        <v>18</v>
      </c>
      <c r="D5" s="1" t="s">
        <v>19</v>
      </c>
      <c r="E5" s="1" t="s">
        <v>20</v>
      </c>
      <c r="F5" t="str">
        <f t="shared" si="0"/>
        <v>Diana Prince</v>
      </c>
      <c r="G5" t="str">
        <f t="shared" si="1"/>
        <v>Diana</v>
      </c>
      <c r="H5" t="str">
        <f>MID(F5, FIND(" ", F5) + 1, LEN(F5))</f>
        <v>Prince</v>
      </c>
      <c r="I5" t="str">
        <f t="shared" si="3"/>
        <v>diana_prince@outlook.com</v>
      </c>
      <c r="J5" t="str">
        <f t="shared" si="4"/>
        <v>@outlook.com</v>
      </c>
      <c r="K5" t="str">
        <f t="shared" si="5"/>
        <v>SPEAKER</v>
      </c>
      <c r="L5" t="str">
        <f t="shared" si="6"/>
        <v>P-009</v>
      </c>
      <c r="M5" t="str">
        <f t="shared" si="7"/>
        <v>009</v>
      </c>
      <c r="N5" t="str">
        <f t="shared" si="8"/>
        <v>No</v>
      </c>
      <c r="O5" t="str">
        <f t="shared" si="9"/>
        <v>Diana_009</v>
      </c>
    </row>
    <row r="6" spans="1:16">
      <c r="A6" s="1" t="s">
        <v>21</v>
      </c>
      <c r="B6" s="1" t="s">
        <v>22</v>
      </c>
      <c r="C6" s="1" t="s">
        <v>18</v>
      </c>
      <c r="D6" s="1" t="s">
        <v>23</v>
      </c>
      <c r="E6" s="1" t="s">
        <v>9</v>
      </c>
      <c r="F6" t="str">
        <f t="shared" si="0"/>
        <v>Henry Ford</v>
      </c>
      <c r="G6" t="str">
        <f t="shared" si="1"/>
        <v>Henry</v>
      </c>
      <c r="H6" t="str">
        <f t="shared" ref="H6:H56" si="10">MID(F6, FIND(" ", F6) + 1, LEN(F6))</f>
        <v>Ford</v>
      </c>
      <c r="I6" t="str">
        <f t="shared" si="3"/>
        <v>diana_prince@outlook.com</v>
      </c>
      <c r="J6" t="str">
        <f t="shared" si="4"/>
        <v>@outlook.com</v>
      </c>
      <c r="K6" t="str">
        <f t="shared" si="5"/>
        <v>MONITOR</v>
      </c>
      <c r="L6" t="str">
        <f t="shared" si="6"/>
        <v>P-002</v>
      </c>
      <c r="M6" t="str">
        <f t="shared" si="7"/>
        <v>002</v>
      </c>
      <c r="N6" t="str">
        <f t="shared" si="8"/>
        <v>No</v>
      </c>
      <c r="O6" t="str">
        <f t="shared" si="9"/>
        <v>Henry_002</v>
      </c>
    </row>
    <row r="7" spans="1:16">
      <c r="A7" s="1" t="s">
        <v>24</v>
      </c>
      <c r="B7" s="1" t="s">
        <v>6</v>
      </c>
      <c r="C7" s="1" t="s">
        <v>7</v>
      </c>
      <c r="D7" s="1" t="s">
        <v>25</v>
      </c>
      <c r="E7" s="1" t="s">
        <v>26</v>
      </c>
      <c r="F7" t="str">
        <f t="shared" si="0"/>
        <v>Jack Reacher</v>
      </c>
      <c r="G7" t="str">
        <f t="shared" si="1"/>
        <v>Jack</v>
      </c>
      <c r="H7" t="str">
        <f t="shared" si="10"/>
        <v>Reacher</v>
      </c>
      <c r="I7" t="str">
        <f t="shared" si="3"/>
        <v>charlie@yahoo.com</v>
      </c>
      <c r="J7" t="str">
        <f t="shared" si="4"/>
        <v>@yahoo.com</v>
      </c>
      <c r="K7" t="str">
        <f t="shared" si="5"/>
        <v>TV</v>
      </c>
      <c r="L7" t="str">
        <f t="shared" si="6"/>
        <v>P-006</v>
      </c>
      <c r="M7" t="str">
        <f t="shared" si="7"/>
        <v>006</v>
      </c>
      <c r="N7" t="str">
        <f t="shared" si="8"/>
        <v>No</v>
      </c>
      <c r="O7" t="str">
        <f t="shared" si="9"/>
        <v>Jack_006</v>
      </c>
    </row>
    <row r="8" spans="1:16">
      <c r="A8" s="2" t="s">
        <v>15</v>
      </c>
      <c r="B8" s="1" t="s">
        <v>16</v>
      </c>
      <c r="C8" s="1" t="s">
        <v>18</v>
      </c>
      <c r="D8" s="1" t="s">
        <v>27</v>
      </c>
      <c r="E8" s="1" t="s">
        <v>20</v>
      </c>
      <c r="F8" t="str">
        <f t="shared" si="0"/>
        <v>Diana Prince</v>
      </c>
      <c r="G8" t="str">
        <f t="shared" si="1"/>
        <v>Diana</v>
      </c>
      <c r="H8" t="str">
        <f t="shared" si="10"/>
        <v>Prince</v>
      </c>
      <c r="I8" t="str">
        <f t="shared" si="3"/>
        <v>diana_prince@outlook.com</v>
      </c>
      <c r="J8" t="str">
        <f t="shared" si="4"/>
        <v>@outlook.com</v>
      </c>
      <c r="K8" t="str">
        <f t="shared" si="5"/>
        <v>KEYBOARD</v>
      </c>
      <c r="L8" t="str">
        <f t="shared" si="6"/>
        <v>P-009</v>
      </c>
      <c r="M8" t="str">
        <f t="shared" si="7"/>
        <v>009</v>
      </c>
      <c r="N8" t="str">
        <f t="shared" si="8"/>
        <v>Yes</v>
      </c>
      <c r="O8" t="str">
        <f t="shared" si="9"/>
        <v>Diana_009</v>
      </c>
    </row>
    <row r="9" spans="1:16">
      <c r="A9" s="1" t="s">
        <v>5</v>
      </c>
      <c r="B9" s="1" t="s">
        <v>16</v>
      </c>
      <c r="C9" s="1" t="s">
        <v>28</v>
      </c>
      <c r="D9" s="1" t="s">
        <v>8</v>
      </c>
      <c r="E9" s="1" t="s">
        <v>29</v>
      </c>
      <c r="F9" t="str">
        <f t="shared" si="0"/>
        <v>Frank Castle</v>
      </c>
      <c r="G9" t="str">
        <f t="shared" si="1"/>
        <v>Frank</v>
      </c>
      <c r="H9" t="str">
        <f t="shared" si="10"/>
        <v>Castle</v>
      </c>
      <c r="I9" t="str">
        <f t="shared" si="3"/>
        <v>eve.adams@hotmail.com</v>
      </c>
      <c r="J9" t="str">
        <f t="shared" si="4"/>
        <v>@hotmail.com</v>
      </c>
      <c r="K9" t="str">
        <f t="shared" si="5"/>
        <v>MOUSE</v>
      </c>
      <c r="L9" t="str">
        <f t="shared" si="6"/>
        <v>P-005</v>
      </c>
      <c r="M9" t="str">
        <f t="shared" si="7"/>
        <v>005</v>
      </c>
      <c r="N9" t="str">
        <f t="shared" si="8"/>
        <v>Yes</v>
      </c>
      <c r="O9" t="str">
        <f t="shared" si="9"/>
        <v>Frank_005</v>
      </c>
    </row>
    <row r="10" spans="1:16">
      <c r="A10" s="1" t="s">
        <v>30</v>
      </c>
      <c r="B10" s="1" t="s">
        <v>31</v>
      </c>
      <c r="C10" s="1" t="s">
        <v>32</v>
      </c>
      <c r="D10" s="1" t="s">
        <v>8</v>
      </c>
      <c r="E10" s="1" t="s">
        <v>33</v>
      </c>
      <c r="F10" t="str">
        <f t="shared" si="0"/>
        <v>Charlie Brown</v>
      </c>
      <c r="G10" t="str">
        <f t="shared" si="1"/>
        <v>Charlie</v>
      </c>
      <c r="H10" t="str">
        <f t="shared" si="10"/>
        <v>Brown</v>
      </c>
      <c r="I10" t="str">
        <f t="shared" si="3"/>
        <v>bob@gmail.com</v>
      </c>
      <c r="J10" t="str">
        <f t="shared" si="4"/>
        <v>@gmail.com</v>
      </c>
      <c r="K10" t="str">
        <f t="shared" si="5"/>
        <v>MOUSE</v>
      </c>
      <c r="L10" t="str">
        <f t="shared" si="6"/>
        <v>P-001</v>
      </c>
      <c r="M10" t="str">
        <f t="shared" si="7"/>
        <v>001</v>
      </c>
      <c r="N10" t="str">
        <f t="shared" si="8"/>
        <v>No</v>
      </c>
      <c r="O10" t="str">
        <f t="shared" si="9"/>
        <v>Charlie_001</v>
      </c>
    </row>
    <row r="11" spans="1:16">
      <c r="A11" s="1" t="s">
        <v>34</v>
      </c>
      <c r="B11" s="1" t="s">
        <v>22</v>
      </c>
      <c r="C11" s="1" t="s">
        <v>7</v>
      </c>
      <c r="D11" s="1" t="s">
        <v>19</v>
      </c>
      <c r="E11" s="1" t="s">
        <v>14</v>
      </c>
      <c r="F11" t="str">
        <f t="shared" si="0"/>
        <v>Eve Adams</v>
      </c>
      <c r="G11" t="str">
        <f t="shared" si="1"/>
        <v>Eve</v>
      </c>
      <c r="H11" t="str">
        <f t="shared" si="10"/>
        <v>Adams</v>
      </c>
      <c r="I11" t="str">
        <f t="shared" si="3"/>
        <v>charlie@yahoo.com</v>
      </c>
      <c r="J11" t="str">
        <f t="shared" si="4"/>
        <v>@yahoo.com</v>
      </c>
      <c r="K11" t="str">
        <f t="shared" si="5"/>
        <v>SPEAKER</v>
      </c>
      <c r="L11" t="str">
        <f t="shared" si="6"/>
        <v>P-003</v>
      </c>
      <c r="M11" t="str">
        <f t="shared" si="7"/>
        <v>003</v>
      </c>
      <c r="N11" t="str">
        <f t="shared" si="8"/>
        <v>No</v>
      </c>
      <c r="O11" t="str">
        <f t="shared" si="9"/>
        <v>Eve_003</v>
      </c>
    </row>
    <row r="12" spans="1:16">
      <c r="A12" s="1" t="s">
        <v>21</v>
      </c>
      <c r="B12" s="1" t="s">
        <v>22</v>
      </c>
      <c r="C12" s="1" t="s">
        <v>12</v>
      </c>
      <c r="D12" s="1" t="s">
        <v>35</v>
      </c>
      <c r="E12" s="1" t="s">
        <v>26</v>
      </c>
      <c r="F12" t="str">
        <f t="shared" si="0"/>
        <v>Henry Ford</v>
      </c>
      <c r="G12" t="str">
        <f t="shared" si="1"/>
        <v>Henry</v>
      </c>
      <c r="H12" t="str">
        <f t="shared" si="10"/>
        <v>Ford</v>
      </c>
      <c r="I12" t="str">
        <f t="shared" si="3"/>
        <v>jack.reacher@gmail.com</v>
      </c>
      <c r="J12" t="str">
        <f t="shared" si="4"/>
        <v>@gmail.com</v>
      </c>
      <c r="K12" t="str">
        <f t="shared" si="5"/>
        <v>TABLET</v>
      </c>
      <c r="L12" t="str">
        <f t="shared" si="6"/>
        <v>P-006</v>
      </c>
      <c r="M12" t="str">
        <f t="shared" si="7"/>
        <v>006</v>
      </c>
      <c r="N12" t="str">
        <f t="shared" si="8"/>
        <v>No</v>
      </c>
      <c r="O12" t="str">
        <f t="shared" si="9"/>
        <v>Henry_006</v>
      </c>
    </row>
    <row r="13" spans="1:16">
      <c r="A13" s="1" t="s">
        <v>36</v>
      </c>
      <c r="B13" s="1" t="s">
        <v>37</v>
      </c>
      <c r="C13" s="1" t="s">
        <v>32</v>
      </c>
      <c r="D13" s="1" t="s">
        <v>8</v>
      </c>
      <c r="E13" s="1" t="s">
        <v>26</v>
      </c>
      <c r="F13" t="str">
        <f t="shared" si="0"/>
        <v>Grace Hopper</v>
      </c>
      <c r="G13" t="str">
        <f t="shared" si="1"/>
        <v>Grace</v>
      </c>
      <c r="H13" t="str">
        <f t="shared" si="10"/>
        <v>Hopper</v>
      </c>
      <c r="I13" t="str">
        <f t="shared" si="3"/>
        <v>bob@gmail.com</v>
      </c>
      <c r="J13" t="str">
        <f t="shared" si="4"/>
        <v>@gmail.com</v>
      </c>
      <c r="K13" t="str">
        <f t="shared" si="5"/>
        <v>MOUSE</v>
      </c>
      <c r="L13" t="str">
        <f t="shared" si="6"/>
        <v>P-006</v>
      </c>
      <c r="M13" t="str">
        <f t="shared" si="7"/>
        <v>006</v>
      </c>
      <c r="N13" t="str">
        <f t="shared" si="8"/>
        <v>No</v>
      </c>
      <c r="O13" t="str">
        <f t="shared" si="9"/>
        <v>Grace_006</v>
      </c>
    </row>
    <row r="14" spans="1:16">
      <c r="A14" s="1" t="s">
        <v>38</v>
      </c>
      <c r="B14" s="1" t="s">
        <v>39</v>
      </c>
      <c r="C14" s="1" t="s">
        <v>28</v>
      </c>
      <c r="D14" s="1" t="s">
        <v>23</v>
      </c>
      <c r="E14" s="1" t="s">
        <v>33</v>
      </c>
      <c r="F14" t="str">
        <f t="shared" si="0"/>
        <v>Isabel Lewis</v>
      </c>
      <c r="G14" t="str">
        <f t="shared" si="1"/>
        <v>Isabel</v>
      </c>
      <c r="H14" t="str">
        <f t="shared" si="10"/>
        <v>Lewis</v>
      </c>
      <c r="I14" t="str">
        <f t="shared" si="3"/>
        <v>eve.adams@hotmail.com</v>
      </c>
      <c r="J14" t="str">
        <f t="shared" si="4"/>
        <v>@hotmail.com</v>
      </c>
      <c r="K14" t="str">
        <f t="shared" si="5"/>
        <v>MONITOR</v>
      </c>
      <c r="L14" t="str">
        <f t="shared" si="6"/>
        <v>P-001</v>
      </c>
      <c r="M14" t="str">
        <f t="shared" si="7"/>
        <v>001</v>
      </c>
      <c r="N14" t="str">
        <f t="shared" si="8"/>
        <v>No</v>
      </c>
      <c r="O14" t="str">
        <f t="shared" si="9"/>
        <v>Isabel_001</v>
      </c>
    </row>
    <row r="15" spans="1:16">
      <c r="A15" s="1" t="s">
        <v>38</v>
      </c>
      <c r="B15" s="1" t="s">
        <v>31</v>
      </c>
      <c r="C15" s="1" t="s">
        <v>40</v>
      </c>
      <c r="D15" s="1" t="s">
        <v>23</v>
      </c>
      <c r="E15" s="1" t="s">
        <v>20</v>
      </c>
      <c r="F15" t="str">
        <f t="shared" si="0"/>
        <v>Isabel Lewis</v>
      </c>
      <c r="G15" t="str">
        <f t="shared" si="1"/>
        <v>Isabel</v>
      </c>
      <c r="H15" t="str">
        <f t="shared" si="10"/>
        <v>Lewis</v>
      </c>
      <c r="I15" t="str">
        <f t="shared" si="3"/>
        <v>grace.hopper@gmail.com</v>
      </c>
      <c r="J15" t="str">
        <f t="shared" si="4"/>
        <v>@gmail.com</v>
      </c>
      <c r="K15" t="str">
        <f t="shared" si="5"/>
        <v>MONITOR</v>
      </c>
      <c r="L15" t="str">
        <f t="shared" si="6"/>
        <v>P-009</v>
      </c>
      <c r="M15" t="str">
        <f t="shared" si="7"/>
        <v>009</v>
      </c>
      <c r="N15" t="str">
        <f t="shared" si="8"/>
        <v>No</v>
      </c>
      <c r="O15" t="str">
        <f t="shared" si="9"/>
        <v>Isabel_009</v>
      </c>
    </row>
    <row r="16" spans="1:16">
      <c r="A16" s="1" t="s">
        <v>41</v>
      </c>
      <c r="B16" s="1" t="s">
        <v>42</v>
      </c>
      <c r="C16" s="1" t="s">
        <v>43</v>
      </c>
      <c r="D16" s="1" t="s">
        <v>19</v>
      </c>
      <c r="E16" s="1" t="s">
        <v>9</v>
      </c>
      <c r="F16" t="str">
        <f t="shared" si="0"/>
        <v>Bob Johnson</v>
      </c>
      <c r="G16" t="str">
        <f t="shared" si="1"/>
        <v>Bob</v>
      </c>
      <c r="H16" t="str">
        <f t="shared" si="10"/>
        <v>Johnson</v>
      </c>
      <c r="I16" t="str">
        <f t="shared" si="3"/>
        <v>isabel.lewis@outlook.com</v>
      </c>
      <c r="J16" t="str">
        <f t="shared" si="4"/>
        <v>@outlook.com</v>
      </c>
      <c r="K16" t="str">
        <f t="shared" si="5"/>
        <v>SPEAKER</v>
      </c>
      <c r="L16" t="str">
        <f t="shared" si="6"/>
        <v>P-002</v>
      </c>
      <c r="M16" t="str">
        <f t="shared" si="7"/>
        <v>002</v>
      </c>
      <c r="N16" t="str">
        <f t="shared" si="8"/>
        <v>No</v>
      </c>
      <c r="O16" t="str">
        <f t="shared" si="9"/>
        <v>Bob_002</v>
      </c>
    </row>
    <row r="17" spans="1:15">
      <c r="A17" s="1" t="s">
        <v>36</v>
      </c>
      <c r="B17" s="1" t="s">
        <v>44</v>
      </c>
      <c r="C17" s="1" t="s">
        <v>7</v>
      </c>
      <c r="D17" s="1" t="s">
        <v>45</v>
      </c>
      <c r="E17" s="1" t="s">
        <v>9</v>
      </c>
      <c r="F17" t="str">
        <f t="shared" si="0"/>
        <v>Grace Hopper</v>
      </c>
      <c r="G17" t="str">
        <f t="shared" si="1"/>
        <v>Grace</v>
      </c>
      <c r="H17" t="str">
        <f t="shared" si="10"/>
        <v>Hopper</v>
      </c>
      <c r="I17" t="str">
        <f t="shared" si="3"/>
        <v>charlie@yahoo.com</v>
      </c>
      <c r="J17" t="str">
        <f t="shared" si="4"/>
        <v>@yahoo.com</v>
      </c>
      <c r="K17" t="str">
        <f t="shared" si="5"/>
        <v>MOBILE</v>
      </c>
      <c r="L17" t="str">
        <f t="shared" si="6"/>
        <v>P-002</v>
      </c>
      <c r="M17" t="str">
        <f t="shared" si="7"/>
        <v>002</v>
      </c>
      <c r="N17" t="str">
        <f t="shared" si="8"/>
        <v>No</v>
      </c>
      <c r="O17" t="str">
        <f t="shared" si="9"/>
        <v>Grace_002</v>
      </c>
    </row>
    <row r="18" spans="1:15">
      <c r="A18" s="1" t="s">
        <v>21</v>
      </c>
      <c r="B18" s="1" t="s">
        <v>37</v>
      </c>
      <c r="C18" s="1" t="s">
        <v>18</v>
      </c>
      <c r="D18" s="1" t="s">
        <v>23</v>
      </c>
      <c r="E18" s="1" t="s">
        <v>33</v>
      </c>
      <c r="F18" t="str">
        <f t="shared" si="0"/>
        <v>Henry Ford</v>
      </c>
      <c r="G18" t="str">
        <f t="shared" si="1"/>
        <v>Henry</v>
      </c>
      <c r="H18" t="str">
        <f t="shared" si="10"/>
        <v>Ford</v>
      </c>
      <c r="I18" t="str">
        <f t="shared" si="3"/>
        <v>diana_prince@outlook.com</v>
      </c>
      <c r="J18" t="str">
        <f t="shared" si="4"/>
        <v>@outlook.com</v>
      </c>
      <c r="K18" t="str">
        <f t="shared" si="5"/>
        <v>MONITOR</v>
      </c>
      <c r="L18" t="str">
        <f t="shared" si="6"/>
        <v>P-001</v>
      </c>
      <c r="M18" t="str">
        <f t="shared" si="7"/>
        <v>001</v>
      </c>
      <c r="N18" t="str">
        <f t="shared" si="8"/>
        <v>No</v>
      </c>
      <c r="O18" t="str">
        <f t="shared" si="9"/>
        <v>Henry_001</v>
      </c>
    </row>
    <row r="19" spans="1:15">
      <c r="A19" s="1" t="s">
        <v>21</v>
      </c>
      <c r="B19" s="1" t="s">
        <v>46</v>
      </c>
      <c r="C19" s="1" t="s">
        <v>47</v>
      </c>
      <c r="D19" s="1" t="s">
        <v>8</v>
      </c>
      <c r="E19" s="1" t="s">
        <v>48</v>
      </c>
      <c r="F19" t="str">
        <f t="shared" si="0"/>
        <v>Henry Ford</v>
      </c>
      <c r="G19" t="str">
        <f t="shared" si="1"/>
        <v>Henry</v>
      </c>
      <c r="H19" t="str">
        <f t="shared" si="10"/>
        <v>Ford</v>
      </c>
      <c r="I19" t="str">
        <f t="shared" si="3"/>
        <v>alice@gmail.com</v>
      </c>
      <c r="J19" t="str">
        <f t="shared" si="4"/>
        <v>@gmail.com</v>
      </c>
      <c r="K19" t="str">
        <f t="shared" si="5"/>
        <v>MOUSE</v>
      </c>
      <c r="L19" t="str">
        <f t="shared" si="6"/>
        <v>P-004</v>
      </c>
      <c r="M19" t="str">
        <f t="shared" si="7"/>
        <v>004</v>
      </c>
      <c r="N19" t="str">
        <f t="shared" si="8"/>
        <v>No</v>
      </c>
      <c r="O19" t="str">
        <f t="shared" si="9"/>
        <v>Henry_004</v>
      </c>
    </row>
    <row r="20" spans="1:15">
      <c r="A20" s="1" t="s">
        <v>38</v>
      </c>
      <c r="B20" s="1" t="s">
        <v>22</v>
      </c>
      <c r="C20" s="1" t="s">
        <v>47</v>
      </c>
      <c r="D20" s="1" t="s">
        <v>8</v>
      </c>
      <c r="E20" s="1" t="s">
        <v>20</v>
      </c>
      <c r="F20" t="str">
        <f t="shared" si="0"/>
        <v>Isabel Lewis</v>
      </c>
      <c r="G20" t="str">
        <f t="shared" si="1"/>
        <v>Isabel</v>
      </c>
      <c r="H20" t="str">
        <f t="shared" si="10"/>
        <v>Lewis</v>
      </c>
      <c r="I20" t="str">
        <f t="shared" si="3"/>
        <v>alice@gmail.com</v>
      </c>
      <c r="J20" t="str">
        <f t="shared" si="4"/>
        <v>@gmail.com</v>
      </c>
      <c r="K20" t="str">
        <f t="shared" si="5"/>
        <v>MOUSE</v>
      </c>
      <c r="L20" t="str">
        <f t="shared" si="6"/>
        <v>P-009</v>
      </c>
      <c r="M20" t="str">
        <f t="shared" si="7"/>
        <v>009</v>
      </c>
      <c r="N20" t="str">
        <f t="shared" si="8"/>
        <v>No</v>
      </c>
      <c r="O20" t="str">
        <f t="shared" si="9"/>
        <v>Isabel_009</v>
      </c>
    </row>
    <row r="21" spans="1:15">
      <c r="A21" s="1" t="s">
        <v>41</v>
      </c>
      <c r="B21" s="1" t="s">
        <v>11</v>
      </c>
      <c r="C21" s="1" t="s">
        <v>40</v>
      </c>
      <c r="D21" s="1" t="s">
        <v>49</v>
      </c>
      <c r="E21" s="1" t="s">
        <v>20</v>
      </c>
      <c r="F21" t="str">
        <f t="shared" si="0"/>
        <v>Bob Johnson</v>
      </c>
      <c r="G21" t="str">
        <f t="shared" si="1"/>
        <v>Bob</v>
      </c>
      <c r="H21" t="str">
        <f t="shared" si="10"/>
        <v>Johnson</v>
      </c>
      <c r="I21" t="str">
        <f t="shared" si="3"/>
        <v>grace.hopper@gmail.com</v>
      </c>
      <c r="J21" t="str">
        <f t="shared" si="4"/>
        <v>@gmail.com</v>
      </c>
      <c r="K21" t="str">
        <f t="shared" si="5"/>
        <v>HEADPHONES</v>
      </c>
      <c r="L21" t="str">
        <f t="shared" si="6"/>
        <v>P-009</v>
      </c>
      <c r="M21" t="str">
        <f t="shared" si="7"/>
        <v>009</v>
      </c>
      <c r="N21" t="str">
        <f t="shared" si="8"/>
        <v>No</v>
      </c>
      <c r="O21" t="str">
        <f t="shared" si="9"/>
        <v>Bob_009</v>
      </c>
    </row>
    <row r="22" spans="1:15">
      <c r="A22" s="1" t="s">
        <v>5</v>
      </c>
      <c r="B22" s="1" t="s">
        <v>11</v>
      </c>
      <c r="C22" s="1" t="s">
        <v>47</v>
      </c>
      <c r="D22" s="1" t="s">
        <v>35</v>
      </c>
      <c r="E22" s="1" t="s">
        <v>29</v>
      </c>
      <c r="F22" t="str">
        <f t="shared" si="0"/>
        <v>Frank Castle</v>
      </c>
      <c r="G22" t="str">
        <f t="shared" si="1"/>
        <v>Frank</v>
      </c>
      <c r="H22" t="str">
        <f t="shared" si="10"/>
        <v>Castle</v>
      </c>
      <c r="I22" t="str">
        <f t="shared" si="3"/>
        <v>alice@gmail.com</v>
      </c>
      <c r="J22" t="str">
        <f t="shared" si="4"/>
        <v>@gmail.com</v>
      </c>
      <c r="K22" t="str">
        <f t="shared" si="5"/>
        <v>TABLET</v>
      </c>
      <c r="L22" t="str">
        <f t="shared" si="6"/>
        <v>P-005</v>
      </c>
      <c r="M22" t="str">
        <f t="shared" si="7"/>
        <v>005</v>
      </c>
      <c r="N22" t="str">
        <f t="shared" si="8"/>
        <v>No</v>
      </c>
      <c r="O22" t="str">
        <f t="shared" si="9"/>
        <v>Frank_005</v>
      </c>
    </row>
    <row r="23" spans="1:15">
      <c r="A23" s="1" t="s">
        <v>24</v>
      </c>
      <c r="B23" s="1" t="s">
        <v>39</v>
      </c>
      <c r="C23" s="1" t="s">
        <v>40</v>
      </c>
      <c r="D23" s="1" t="s">
        <v>49</v>
      </c>
      <c r="E23" s="1" t="s">
        <v>29</v>
      </c>
      <c r="F23" t="str">
        <f t="shared" si="0"/>
        <v>Jack Reacher</v>
      </c>
      <c r="G23" t="str">
        <f t="shared" si="1"/>
        <v>Jack</v>
      </c>
      <c r="H23" t="str">
        <f t="shared" si="10"/>
        <v>Reacher</v>
      </c>
      <c r="I23" t="str">
        <f t="shared" si="3"/>
        <v>grace.hopper@gmail.com</v>
      </c>
      <c r="J23" t="str">
        <f t="shared" si="4"/>
        <v>@gmail.com</v>
      </c>
      <c r="K23" t="str">
        <f t="shared" si="5"/>
        <v>HEADPHONES</v>
      </c>
      <c r="L23" t="str">
        <f t="shared" si="6"/>
        <v>P-005</v>
      </c>
      <c r="M23" t="str">
        <f t="shared" si="7"/>
        <v>005</v>
      </c>
      <c r="N23" t="str">
        <f t="shared" si="8"/>
        <v>No</v>
      </c>
      <c r="O23" t="str">
        <f t="shared" si="9"/>
        <v>Jack_005</v>
      </c>
    </row>
    <row r="24" spans="1:15">
      <c r="A24" s="1" t="s">
        <v>38</v>
      </c>
      <c r="B24" s="1" t="s">
        <v>11</v>
      </c>
      <c r="C24" s="1" t="s">
        <v>18</v>
      </c>
      <c r="D24" s="1" t="s">
        <v>23</v>
      </c>
      <c r="E24" s="1" t="s">
        <v>33</v>
      </c>
      <c r="F24" t="str">
        <f t="shared" si="0"/>
        <v>Isabel Lewis</v>
      </c>
      <c r="G24" t="str">
        <f t="shared" si="1"/>
        <v>Isabel</v>
      </c>
      <c r="H24" t="str">
        <f t="shared" si="10"/>
        <v>Lewis</v>
      </c>
      <c r="I24" t="str">
        <f t="shared" si="3"/>
        <v>diana_prince@outlook.com</v>
      </c>
      <c r="J24" t="str">
        <f t="shared" si="4"/>
        <v>@outlook.com</v>
      </c>
      <c r="K24" t="str">
        <f t="shared" si="5"/>
        <v>MONITOR</v>
      </c>
      <c r="L24" t="str">
        <f t="shared" si="6"/>
        <v>P-001</v>
      </c>
      <c r="M24" t="str">
        <f t="shared" si="7"/>
        <v>001</v>
      </c>
      <c r="N24" t="str">
        <f t="shared" si="8"/>
        <v>No</v>
      </c>
      <c r="O24" t="str">
        <f t="shared" si="9"/>
        <v>Isabel_001</v>
      </c>
    </row>
    <row r="25" spans="1:15">
      <c r="A25" s="1" t="s">
        <v>24</v>
      </c>
      <c r="B25" s="1" t="s">
        <v>11</v>
      </c>
      <c r="C25" s="1" t="s">
        <v>18</v>
      </c>
      <c r="D25" s="1" t="s">
        <v>49</v>
      </c>
      <c r="E25" s="1" t="s">
        <v>50</v>
      </c>
      <c r="F25" t="str">
        <f t="shared" si="0"/>
        <v>Jack Reacher</v>
      </c>
      <c r="G25" t="str">
        <f t="shared" si="1"/>
        <v>Jack</v>
      </c>
      <c r="H25" t="str">
        <f t="shared" si="10"/>
        <v>Reacher</v>
      </c>
      <c r="I25" t="str">
        <f t="shared" si="3"/>
        <v>diana_prince@outlook.com</v>
      </c>
      <c r="J25" t="str">
        <f t="shared" si="4"/>
        <v>@outlook.com</v>
      </c>
      <c r="K25" t="str">
        <f t="shared" si="5"/>
        <v>HEADPHONES</v>
      </c>
      <c r="L25" t="str">
        <f t="shared" si="6"/>
        <v>P-010</v>
      </c>
      <c r="M25" t="str">
        <f t="shared" si="7"/>
        <v>010</v>
      </c>
      <c r="N25" t="str">
        <f t="shared" si="8"/>
        <v>No</v>
      </c>
      <c r="O25" t="str">
        <f t="shared" si="9"/>
        <v>Jack_010</v>
      </c>
    </row>
    <row r="26" spans="1:15">
      <c r="A26" s="1" t="s">
        <v>34</v>
      </c>
      <c r="B26" s="1" t="s">
        <v>37</v>
      </c>
      <c r="C26" s="1" t="s">
        <v>43</v>
      </c>
      <c r="D26" s="1" t="s">
        <v>23</v>
      </c>
      <c r="E26" s="1" t="s">
        <v>48</v>
      </c>
      <c r="F26" t="str">
        <f t="shared" si="0"/>
        <v>Eve Adams</v>
      </c>
      <c r="G26" t="str">
        <f t="shared" si="1"/>
        <v>Eve</v>
      </c>
      <c r="H26" t="str">
        <f t="shared" si="10"/>
        <v>Adams</v>
      </c>
      <c r="I26" t="str">
        <f t="shared" si="3"/>
        <v>isabel.lewis@outlook.com</v>
      </c>
      <c r="J26" t="str">
        <f t="shared" si="4"/>
        <v>@outlook.com</v>
      </c>
      <c r="K26" t="str">
        <f t="shared" si="5"/>
        <v>MONITOR</v>
      </c>
      <c r="L26" t="str">
        <f t="shared" si="6"/>
        <v>P-004</v>
      </c>
      <c r="M26" t="str">
        <f t="shared" si="7"/>
        <v>004</v>
      </c>
      <c r="N26" t="str">
        <f t="shared" si="8"/>
        <v>No</v>
      </c>
      <c r="O26" t="str">
        <f t="shared" si="9"/>
        <v>Eve_004</v>
      </c>
    </row>
    <row r="27" spans="1:15">
      <c r="A27" s="2" t="s">
        <v>15</v>
      </c>
      <c r="B27" s="1" t="s">
        <v>11</v>
      </c>
      <c r="C27" s="1" t="s">
        <v>43</v>
      </c>
      <c r="D27" s="1" t="s">
        <v>25</v>
      </c>
      <c r="E27" s="1" t="s">
        <v>51</v>
      </c>
      <c r="F27" t="str">
        <f t="shared" si="0"/>
        <v>Diana Prince</v>
      </c>
      <c r="G27" t="str">
        <f t="shared" si="1"/>
        <v>Diana</v>
      </c>
      <c r="H27" t="str">
        <f t="shared" si="10"/>
        <v>Prince</v>
      </c>
      <c r="I27" t="str">
        <f t="shared" si="3"/>
        <v>isabel.lewis@outlook.com</v>
      </c>
      <c r="J27" t="str">
        <f t="shared" si="4"/>
        <v>@outlook.com</v>
      </c>
      <c r="K27" t="str">
        <f t="shared" si="5"/>
        <v>TV</v>
      </c>
      <c r="L27" t="str">
        <f t="shared" si="6"/>
        <v>P-008</v>
      </c>
      <c r="M27" t="str">
        <f t="shared" si="7"/>
        <v>008</v>
      </c>
      <c r="N27" t="str">
        <f t="shared" si="8"/>
        <v>No</v>
      </c>
      <c r="O27" t="str">
        <f t="shared" si="9"/>
        <v>Diana_008</v>
      </c>
    </row>
    <row r="28" spans="1:15">
      <c r="A28" s="1" t="s">
        <v>10</v>
      </c>
      <c r="B28" s="1" t="s">
        <v>11</v>
      </c>
      <c r="C28" s="1" t="s">
        <v>43</v>
      </c>
      <c r="D28" s="1" t="s">
        <v>27</v>
      </c>
      <c r="E28" s="1" t="s">
        <v>48</v>
      </c>
      <c r="F28" t="str">
        <f t="shared" si="0"/>
        <v>Alice Smith</v>
      </c>
      <c r="G28" t="str">
        <f t="shared" si="1"/>
        <v>Alice</v>
      </c>
      <c r="H28" t="str">
        <f t="shared" si="10"/>
        <v>Smith</v>
      </c>
      <c r="I28" t="str">
        <f t="shared" si="3"/>
        <v>isabel.lewis@outlook.com</v>
      </c>
      <c r="J28" t="str">
        <f t="shared" si="4"/>
        <v>@outlook.com</v>
      </c>
      <c r="K28" t="str">
        <f t="shared" si="5"/>
        <v>KEYBOARD</v>
      </c>
      <c r="L28" t="str">
        <f t="shared" si="6"/>
        <v>P-004</v>
      </c>
      <c r="M28" t="str">
        <f t="shared" si="7"/>
        <v>004</v>
      </c>
      <c r="N28" t="str">
        <f t="shared" si="8"/>
        <v>No</v>
      </c>
      <c r="O28" t="str">
        <f t="shared" si="9"/>
        <v>Alice_004</v>
      </c>
    </row>
    <row r="29" spans="1:15">
      <c r="A29" s="2" t="s">
        <v>15</v>
      </c>
      <c r="B29" s="1" t="s">
        <v>6</v>
      </c>
      <c r="C29" s="1" t="s">
        <v>7</v>
      </c>
      <c r="D29" s="1" t="s">
        <v>13</v>
      </c>
      <c r="E29" s="1" t="s">
        <v>14</v>
      </c>
      <c r="F29" t="str">
        <f t="shared" si="0"/>
        <v>Diana Prince</v>
      </c>
      <c r="G29" t="str">
        <f t="shared" si="1"/>
        <v>Diana</v>
      </c>
      <c r="H29" t="str">
        <f t="shared" si="10"/>
        <v>Prince</v>
      </c>
      <c r="I29" t="str">
        <f t="shared" si="3"/>
        <v>charlie@yahoo.com</v>
      </c>
      <c r="J29" t="str">
        <f t="shared" si="4"/>
        <v>@yahoo.com</v>
      </c>
      <c r="K29" t="str">
        <f t="shared" si="5"/>
        <v>LAPTOP</v>
      </c>
      <c r="L29" t="str">
        <f t="shared" si="6"/>
        <v>P-003</v>
      </c>
      <c r="M29" t="str">
        <f t="shared" si="7"/>
        <v>003</v>
      </c>
      <c r="N29" t="str">
        <f t="shared" si="8"/>
        <v>No</v>
      </c>
      <c r="O29" t="str">
        <f t="shared" si="9"/>
        <v>Diana_003</v>
      </c>
    </row>
    <row r="30" spans="1:15">
      <c r="A30" s="1" t="s">
        <v>5</v>
      </c>
      <c r="B30" s="1" t="s">
        <v>11</v>
      </c>
      <c r="C30" s="1" t="s">
        <v>18</v>
      </c>
      <c r="D30" s="1" t="s">
        <v>8</v>
      </c>
      <c r="E30" s="1" t="s">
        <v>9</v>
      </c>
      <c r="F30" t="str">
        <f t="shared" si="0"/>
        <v>Frank Castle</v>
      </c>
      <c r="G30" t="str">
        <f t="shared" si="1"/>
        <v>Frank</v>
      </c>
      <c r="H30" t="str">
        <f t="shared" si="10"/>
        <v>Castle</v>
      </c>
      <c r="I30" t="str">
        <f t="shared" si="3"/>
        <v>diana_prince@outlook.com</v>
      </c>
      <c r="J30" t="str">
        <f t="shared" si="4"/>
        <v>@outlook.com</v>
      </c>
      <c r="K30" t="str">
        <f t="shared" si="5"/>
        <v>MOUSE</v>
      </c>
      <c r="L30" t="str">
        <f t="shared" si="6"/>
        <v>P-002</v>
      </c>
      <c r="M30" t="str">
        <f t="shared" si="7"/>
        <v>002</v>
      </c>
      <c r="N30" t="str">
        <f t="shared" si="8"/>
        <v>No</v>
      </c>
      <c r="O30" t="str">
        <f t="shared" si="9"/>
        <v>Frank_002</v>
      </c>
    </row>
    <row r="31" spans="1:15">
      <c r="A31" s="1" t="s">
        <v>10</v>
      </c>
      <c r="B31" s="1" t="s">
        <v>37</v>
      </c>
      <c r="C31" s="1" t="s">
        <v>7</v>
      </c>
      <c r="D31" s="1" t="s">
        <v>17</v>
      </c>
      <c r="E31" s="1" t="s">
        <v>9</v>
      </c>
      <c r="F31" t="str">
        <f t="shared" si="0"/>
        <v>Alice Smith</v>
      </c>
      <c r="G31" t="str">
        <f t="shared" si="1"/>
        <v>Alice</v>
      </c>
      <c r="H31" t="str">
        <f t="shared" si="10"/>
        <v>Smith</v>
      </c>
      <c r="I31" t="str">
        <f t="shared" si="3"/>
        <v>charlie@yahoo.com</v>
      </c>
      <c r="J31" t="str">
        <f t="shared" si="4"/>
        <v>@yahoo.com</v>
      </c>
      <c r="K31" t="str">
        <f t="shared" si="5"/>
        <v>CAMERA</v>
      </c>
      <c r="L31" t="str">
        <f t="shared" si="6"/>
        <v>P-002</v>
      </c>
      <c r="M31" t="str">
        <f t="shared" si="7"/>
        <v>002</v>
      </c>
      <c r="N31" t="str">
        <f t="shared" si="8"/>
        <v>No</v>
      </c>
      <c r="O31" t="str">
        <f t="shared" si="9"/>
        <v>Alice_002</v>
      </c>
    </row>
    <row r="32" spans="1:15">
      <c r="A32" s="1" t="s">
        <v>30</v>
      </c>
      <c r="B32" s="1" t="s">
        <v>31</v>
      </c>
      <c r="C32" s="1" t="s">
        <v>47</v>
      </c>
      <c r="D32" s="1" t="s">
        <v>23</v>
      </c>
      <c r="E32" s="1" t="s">
        <v>14</v>
      </c>
      <c r="F32" t="str">
        <f t="shared" si="0"/>
        <v>Charlie Brown</v>
      </c>
      <c r="G32" t="str">
        <f t="shared" si="1"/>
        <v>Charlie</v>
      </c>
      <c r="H32" t="str">
        <f t="shared" si="10"/>
        <v>Brown</v>
      </c>
      <c r="I32" t="str">
        <f t="shared" si="3"/>
        <v>alice@gmail.com</v>
      </c>
      <c r="J32" t="str">
        <f t="shared" si="4"/>
        <v>@gmail.com</v>
      </c>
      <c r="K32" t="str">
        <f t="shared" si="5"/>
        <v>MONITOR</v>
      </c>
      <c r="L32" t="str">
        <f t="shared" si="6"/>
        <v>P-003</v>
      </c>
      <c r="M32" t="str">
        <f t="shared" si="7"/>
        <v>003</v>
      </c>
      <c r="N32" t="str">
        <f t="shared" si="8"/>
        <v>No</v>
      </c>
      <c r="O32" t="str">
        <f t="shared" si="9"/>
        <v>Charlie_003</v>
      </c>
    </row>
    <row r="33" spans="1:15">
      <c r="A33" s="2" t="s">
        <v>15</v>
      </c>
      <c r="B33" s="1" t="s">
        <v>46</v>
      </c>
      <c r="C33" s="1" t="s">
        <v>43</v>
      </c>
      <c r="D33" s="1" t="s">
        <v>25</v>
      </c>
      <c r="E33" s="1" t="s">
        <v>9</v>
      </c>
      <c r="F33" t="str">
        <f t="shared" si="0"/>
        <v>Diana Prince</v>
      </c>
      <c r="G33" t="str">
        <f t="shared" si="1"/>
        <v>Diana</v>
      </c>
      <c r="H33" t="str">
        <f t="shared" si="10"/>
        <v>Prince</v>
      </c>
      <c r="I33" t="str">
        <f t="shared" si="3"/>
        <v>isabel.lewis@outlook.com</v>
      </c>
      <c r="J33" t="str">
        <f t="shared" si="4"/>
        <v>@outlook.com</v>
      </c>
      <c r="K33" t="str">
        <f t="shared" si="5"/>
        <v>TV</v>
      </c>
      <c r="L33" t="str">
        <f t="shared" si="6"/>
        <v>P-002</v>
      </c>
      <c r="M33" t="str">
        <f t="shared" si="7"/>
        <v>002</v>
      </c>
      <c r="N33" t="str">
        <f t="shared" si="8"/>
        <v>No</v>
      </c>
      <c r="O33" t="str">
        <f t="shared" si="9"/>
        <v>Diana_002</v>
      </c>
    </row>
    <row r="34" spans="1:15">
      <c r="A34" s="1" t="s">
        <v>38</v>
      </c>
      <c r="B34" s="1" t="s">
        <v>46</v>
      </c>
      <c r="C34" s="1" t="s">
        <v>43</v>
      </c>
      <c r="D34" s="1" t="s">
        <v>8</v>
      </c>
      <c r="E34" s="1" t="s">
        <v>29</v>
      </c>
      <c r="F34" t="str">
        <f t="shared" si="0"/>
        <v>Isabel Lewis</v>
      </c>
      <c r="G34" t="str">
        <f t="shared" si="1"/>
        <v>Isabel</v>
      </c>
      <c r="H34" t="str">
        <f t="shared" si="10"/>
        <v>Lewis</v>
      </c>
      <c r="I34" t="str">
        <f t="shared" si="3"/>
        <v>isabel.lewis@outlook.com</v>
      </c>
      <c r="J34" t="str">
        <f t="shared" si="4"/>
        <v>@outlook.com</v>
      </c>
      <c r="K34" t="str">
        <f t="shared" si="5"/>
        <v>MOUSE</v>
      </c>
      <c r="L34" t="str">
        <f t="shared" si="6"/>
        <v>P-005</v>
      </c>
      <c r="M34" t="str">
        <f t="shared" si="7"/>
        <v>005</v>
      </c>
      <c r="N34" t="str">
        <f t="shared" si="8"/>
        <v>No</v>
      </c>
      <c r="O34" t="str">
        <f t="shared" si="9"/>
        <v>Isabel_005</v>
      </c>
    </row>
    <row r="35" spans="1:15">
      <c r="A35" s="1" t="s">
        <v>41</v>
      </c>
      <c r="B35" s="1" t="s">
        <v>44</v>
      </c>
      <c r="C35" s="1" t="s">
        <v>18</v>
      </c>
      <c r="D35" s="1" t="s">
        <v>35</v>
      </c>
      <c r="E35" s="1" t="s">
        <v>14</v>
      </c>
      <c r="F35" t="str">
        <f t="shared" si="0"/>
        <v>Bob Johnson</v>
      </c>
      <c r="G35" t="str">
        <f t="shared" si="1"/>
        <v>Bob</v>
      </c>
      <c r="H35" t="str">
        <f t="shared" si="10"/>
        <v>Johnson</v>
      </c>
      <c r="I35" t="str">
        <f t="shared" si="3"/>
        <v>diana_prince@outlook.com</v>
      </c>
      <c r="J35" t="str">
        <f t="shared" si="4"/>
        <v>@outlook.com</v>
      </c>
      <c r="K35" t="str">
        <f t="shared" si="5"/>
        <v>TABLET</v>
      </c>
      <c r="L35" t="str">
        <f t="shared" si="6"/>
        <v>P-003</v>
      </c>
      <c r="M35" t="str">
        <f t="shared" si="7"/>
        <v>003</v>
      </c>
      <c r="N35" t="str">
        <f t="shared" si="8"/>
        <v>No</v>
      </c>
      <c r="O35" t="str">
        <f t="shared" si="9"/>
        <v>Bob_003</v>
      </c>
    </row>
    <row r="36" spans="1:15">
      <c r="A36" s="2" t="s">
        <v>15</v>
      </c>
      <c r="B36" s="1" t="s">
        <v>16</v>
      </c>
      <c r="C36" s="1" t="s">
        <v>43</v>
      </c>
      <c r="D36" s="1" t="s">
        <v>49</v>
      </c>
      <c r="E36" s="1" t="s">
        <v>26</v>
      </c>
      <c r="F36" t="str">
        <f t="shared" si="0"/>
        <v>Diana Prince</v>
      </c>
      <c r="G36" t="str">
        <f t="shared" si="1"/>
        <v>Diana</v>
      </c>
      <c r="H36" t="str">
        <f t="shared" si="10"/>
        <v>Prince</v>
      </c>
      <c r="I36" t="str">
        <f t="shared" si="3"/>
        <v>isabel.lewis@outlook.com</v>
      </c>
      <c r="J36" t="str">
        <f t="shared" si="4"/>
        <v>@outlook.com</v>
      </c>
      <c r="K36" t="str">
        <f t="shared" si="5"/>
        <v>HEADPHONES</v>
      </c>
      <c r="L36" t="str">
        <f t="shared" si="6"/>
        <v>P-006</v>
      </c>
      <c r="M36" t="str">
        <f t="shared" si="7"/>
        <v>006</v>
      </c>
      <c r="N36" t="str">
        <f t="shared" si="8"/>
        <v>Yes</v>
      </c>
      <c r="O36" t="str">
        <f t="shared" si="9"/>
        <v>Diana_006</v>
      </c>
    </row>
    <row r="37" spans="1:15">
      <c r="A37" s="2" t="s">
        <v>15</v>
      </c>
      <c r="B37" s="1" t="s">
        <v>46</v>
      </c>
      <c r="C37" s="1" t="s">
        <v>7</v>
      </c>
      <c r="D37" s="1" t="s">
        <v>19</v>
      </c>
      <c r="E37" s="1" t="s">
        <v>26</v>
      </c>
      <c r="F37" t="str">
        <f t="shared" si="0"/>
        <v>Diana Prince</v>
      </c>
      <c r="G37" t="str">
        <f t="shared" si="1"/>
        <v>Diana</v>
      </c>
      <c r="H37" t="str">
        <f t="shared" si="10"/>
        <v>Prince</v>
      </c>
      <c r="I37" t="str">
        <f t="shared" si="3"/>
        <v>charlie@yahoo.com</v>
      </c>
      <c r="J37" t="str">
        <f t="shared" si="4"/>
        <v>@yahoo.com</v>
      </c>
      <c r="K37" t="str">
        <f t="shared" si="5"/>
        <v>SPEAKER</v>
      </c>
      <c r="L37" t="str">
        <f t="shared" si="6"/>
        <v>P-006</v>
      </c>
      <c r="M37" t="str">
        <f t="shared" si="7"/>
        <v>006</v>
      </c>
      <c r="N37" t="str">
        <f t="shared" si="8"/>
        <v>No</v>
      </c>
      <c r="O37" t="str">
        <f t="shared" si="9"/>
        <v>Diana_006</v>
      </c>
    </row>
    <row r="38" spans="1:15">
      <c r="A38" s="2" t="s">
        <v>15</v>
      </c>
      <c r="B38" s="1" t="s">
        <v>22</v>
      </c>
      <c r="C38" s="1" t="s">
        <v>43</v>
      </c>
      <c r="D38" s="1" t="s">
        <v>27</v>
      </c>
      <c r="E38" s="1" t="s">
        <v>26</v>
      </c>
      <c r="F38" t="str">
        <f t="shared" si="0"/>
        <v>Diana Prince</v>
      </c>
      <c r="G38" t="str">
        <f t="shared" si="1"/>
        <v>Diana</v>
      </c>
      <c r="H38" t="str">
        <f t="shared" si="10"/>
        <v>Prince</v>
      </c>
      <c r="I38" t="str">
        <f t="shared" si="3"/>
        <v>isabel.lewis@outlook.com</v>
      </c>
      <c r="J38" t="str">
        <f t="shared" si="4"/>
        <v>@outlook.com</v>
      </c>
      <c r="K38" t="str">
        <f t="shared" si="5"/>
        <v>KEYBOARD</v>
      </c>
      <c r="L38" t="str">
        <f t="shared" si="6"/>
        <v>P-006</v>
      </c>
      <c r="M38" t="str">
        <f t="shared" si="7"/>
        <v>006</v>
      </c>
      <c r="N38" t="str">
        <f t="shared" si="8"/>
        <v>No</v>
      </c>
      <c r="O38" t="str">
        <f t="shared" si="9"/>
        <v>Diana_006</v>
      </c>
    </row>
    <row r="39" spans="1:15">
      <c r="A39" s="1" t="s">
        <v>21</v>
      </c>
      <c r="B39" s="1" t="s">
        <v>37</v>
      </c>
      <c r="C39" s="1" t="s">
        <v>28</v>
      </c>
      <c r="D39" s="1" t="s">
        <v>25</v>
      </c>
      <c r="E39" s="1" t="s">
        <v>14</v>
      </c>
      <c r="F39" t="str">
        <f t="shared" si="0"/>
        <v>Henry Ford</v>
      </c>
      <c r="G39" t="str">
        <f t="shared" si="1"/>
        <v>Henry</v>
      </c>
      <c r="H39" t="str">
        <f t="shared" si="10"/>
        <v>Ford</v>
      </c>
      <c r="I39" t="str">
        <f t="shared" si="3"/>
        <v>eve.adams@hotmail.com</v>
      </c>
      <c r="J39" t="str">
        <f t="shared" si="4"/>
        <v>@hotmail.com</v>
      </c>
      <c r="K39" t="str">
        <f t="shared" si="5"/>
        <v>TV</v>
      </c>
      <c r="L39" t="str">
        <f t="shared" si="6"/>
        <v>P-003</v>
      </c>
      <c r="M39" t="str">
        <f t="shared" si="7"/>
        <v>003</v>
      </c>
      <c r="N39" t="str">
        <f t="shared" si="8"/>
        <v>No</v>
      </c>
      <c r="O39" t="str">
        <f t="shared" si="9"/>
        <v>Henry_003</v>
      </c>
    </row>
    <row r="40" spans="1:15">
      <c r="A40" s="1" t="s">
        <v>10</v>
      </c>
      <c r="B40" s="1" t="s">
        <v>44</v>
      </c>
      <c r="C40" s="1" t="s">
        <v>18</v>
      </c>
      <c r="D40" s="1" t="s">
        <v>49</v>
      </c>
      <c r="E40" s="1" t="s">
        <v>26</v>
      </c>
      <c r="F40" t="str">
        <f t="shared" si="0"/>
        <v>Alice Smith</v>
      </c>
      <c r="G40" t="str">
        <f t="shared" si="1"/>
        <v>Alice</v>
      </c>
      <c r="H40" t="str">
        <f t="shared" si="10"/>
        <v>Smith</v>
      </c>
      <c r="I40" t="str">
        <f t="shared" si="3"/>
        <v>diana_prince@outlook.com</v>
      </c>
      <c r="J40" t="str">
        <f t="shared" si="4"/>
        <v>@outlook.com</v>
      </c>
      <c r="K40" t="str">
        <f t="shared" si="5"/>
        <v>HEADPHONES</v>
      </c>
      <c r="L40" t="str">
        <f t="shared" si="6"/>
        <v>P-006</v>
      </c>
      <c r="M40" t="str">
        <f t="shared" si="7"/>
        <v>006</v>
      </c>
      <c r="N40" t="str">
        <f t="shared" si="8"/>
        <v>No</v>
      </c>
      <c r="O40" t="str">
        <f t="shared" si="9"/>
        <v>Alice_006</v>
      </c>
    </row>
    <row r="41" spans="1:15">
      <c r="A41" s="1" t="s">
        <v>41</v>
      </c>
      <c r="B41" s="1" t="s">
        <v>46</v>
      </c>
      <c r="C41" s="1" t="s">
        <v>47</v>
      </c>
      <c r="D41" s="1" t="s">
        <v>17</v>
      </c>
      <c r="E41" s="1" t="s">
        <v>51</v>
      </c>
      <c r="F41" t="str">
        <f t="shared" si="0"/>
        <v>Bob Johnson</v>
      </c>
      <c r="G41" t="str">
        <f t="shared" si="1"/>
        <v>Bob</v>
      </c>
      <c r="H41" t="str">
        <f t="shared" si="10"/>
        <v>Johnson</v>
      </c>
      <c r="I41" t="str">
        <f t="shared" si="3"/>
        <v>alice@gmail.com</v>
      </c>
      <c r="J41" t="str">
        <f t="shared" si="4"/>
        <v>@gmail.com</v>
      </c>
      <c r="K41" t="str">
        <f t="shared" si="5"/>
        <v>CAMERA</v>
      </c>
      <c r="L41" t="str">
        <f t="shared" si="6"/>
        <v>P-008</v>
      </c>
      <c r="M41" t="str">
        <f t="shared" si="7"/>
        <v>008</v>
      </c>
      <c r="N41" t="str">
        <f t="shared" si="8"/>
        <v>No</v>
      </c>
      <c r="O41" t="str">
        <f t="shared" si="9"/>
        <v>Bob_008</v>
      </c>
    </row>
    <row r="42" spans="1:15">
      <c r="A42" s="1" t="s">
        <v>24</v>
      </c>
      <c r="B42" s="1" t="s">
        <v>44</v>
      </c>
      <c r="C42" s="1" t="s">
        <v>28</v>
      </c>
      <c r="D42" s="1" t="s">
        <v>25</v>
      </c>
      <c r="E42" s="1" t="s">
        <v>51</v>
      </c>
      <c r="F42" t="str">
        <f t="shared" si="0"/>
        <v>Jack Reacher</v>
      </c>
      <c r="G42" t="str">
        <f t="shared" si="1"/>
        <v>Jack</v>
      </c>
      <c r="H42" t="str">
        <f t="shared" si="10"/>
        <v>Reacher</v>
      </c>
      <c r="I42" t="str">
        <f t="shared" si="3"/>
        <v>eve.adams@hotmail.com</v>
      </c>
      <c r="J42" t="str">
        <f t="shared" si="4"/>
        <v>@hotmail.com</v>
      </c>
      <c r="K42" t="str">
        <f t="shared" si="5"/>
        <v>TV</v>
      </c>
      <c r="L42" t="str">
        <f t="shared" si="6"/>
        <v>P-008</v>
      </c>
      <c r="M42" t="str">
        <f t="shared" si="7"/>
        <v>008</v>
      </c>
      <c r="N42" t="str">
        <f t="shared" si="8"/>
        <v>No</v>
      </c>
      <c r="O42" t="str">
        <f t="shared" si="9"/>
        <v>Jack_008</v>
      </c>
    </row>
    <row r="43" spans="1:15">
      <c r="A43" s="1" t="s">
        <v>24</v>
      </c>
      <c r="B43" s="2" t="s">
        <v>52</v>
      </c>
      <c r="C43" s="1" t="s">
        <v>18</v>
      </c>
      <c r="D43" s="1" t="s">
        <v>49</v>
      </c>
      <c r="E43" s="1" t="s">
        <v>53</v>
      </c>
      <c r="F43" t="str">
        <f t="shared" si="0"/>
        <v>Jack Reacher</v>
      </c>
      <c r="G43" t="str">
        <f t="shared" si="1"/>
        <v>Jack</v>
      </c>
      <c r="H43" t="str">
        <f t="shared" si="10"/>
        <v>Reacher</v>
      </c>
      <c r="I43" t="str">
        <f t="shared" si="3"/>
        <v>diana_prince@outlook.com</v>
      </c>
      <c r="J43" t="str">
        <f t="shared" si="4"/>
        <v>@outlook.com</v>
      </c>
      <c r="K43" t="str">
        <f t="shared" si="5"/>
        <v>HEADPHONES</v>
      </c>
      <c r="L43" t="str">
        <f t="shared" si="6"/>
        <v>P-007</v>
      </c>
      <c r="M43" t="str">
        <f t="shared" si="7"/>
        <v>007</v>
      </c>
      <c r="N43" t="str">
        <f t="shared" si="8"/>
        <v>Yes</v>
      </c>
      <c r="O43" t="str">
        <f t="shared" si="9"/>
        <v>Jack_007</v>
      </c>
    </row>
    <row r="44" spans="1:15">
      <c r="A44" s="1" t="s">
        <v>10</v>
      </c>
      <c r="B44" s="1" t="s">
        <v>42</v>
      </c>
      <c r="C44" s="1" t="s">
        <v>40</v>
      </c>
      <c r="D44" s="1" t="s">
        <v>49</v>
      </c>
      <c r="E44" s="1" t="s">
        <v>9</v>
      </c>
      <c r="F44" t="str">
        <f t="shared" si="0"/>
        <v>Alice Smith</v>
      </c>
      <c r="G44" t="str">
        <f t="shared" si="1"/>
        <v>Alice</v>
      </c>
      <c r="H44" t="str">
        <f t="shared" si="10"/>
        <v>Smith</v>
      </c>
      <c r="I44" t="str">
        <f t="shared" si="3"/>
        <v>grace.hopper@gmail.com</v>
      </c>
      <c r="J44" t="str">
        <f t="shared" si="4"/>
        <v>@gmail.com</v>
      </c>
      <c r="K44" t="str">
        <f t="shared" si="5"/>
        <v>HEADPHONES</v>
      </c>
      <c r="L44" t="str">
        <f t="shared" si="6"/>
        <v>P-002</v>
      </c>
      <c r="M44" t="str">
        <f t="shared" si="7"/>
        <v>002</v>
      </c>
      <c r="N44" t="str">
        <f t="shared" si="8"/>
        <v>No</v>
      </c>
      <c r="O44" t="str">
        <f t="shared" si="9"/>
        <v>Alice_002</v>
      </c>
    </row>
    <row r="45" spans="1:15">
      <c r="A45" s="1" t="s">
        <v>34</v>
      </c>
      <c r="B45" s="1" t="s">
        <v>11</v>
      </c>
      <c r="C45" s="1" t="s">
        <v>12</v>
      </c>
      <c r="D45" s="1" t="s">
        <v>27</v>
      </c>
      <c r="E45" s="1" t="s">
        <v>53</v>
      </c>
      <c r="F45" t="str">
        <f t="shared" si="0"/>
        <v>Eve Adams</v>
      </c>
      <c r="G45" t="str">
        <f t="shared" si="1"/>
        <v>Eve</v>
      </c>
      <c r="H45" t="str">
        <f t="shared" si="10"/>
        <v>Adams</v>
      </c>
      <c r="I45" t="str">
        <f t="shared" si="3"/>
        <v>jack.reacher@gmail.com</v>
      </c>
      <c r="J45" t="str">
        <f t="shared" si="4"/>
        <v>@gmail.com</v>
      </c>
      <c r="K45" t="str">
        <f t="shared" si="5"/>
        <v>KEYBOARD</v>
      </c>
      <c r="L45" t="str">
        <f t="shared" si="6"/>
        <v>P-007</v>
      </c>
      <c r="M45" t="str">
        <f t="shared" si="7"/>
        <v>007</v>
      </c>
      <c r="N45" t="str">
        <f t="shared" si="8"/>
        <v>No</v>
      </c>
      <c r="O45" t="str">
        <f t="shared" si="9"/>
        <v>Eve_007</v>
      </c>
    </row>
    <row r="46" spans="1:15">
      <c r="A46" s="1" t="s">
        <v>21</v>
      </c>
      <c r="B46" s="1" t="s">
        <v>42</v>
      </c>
      <c r="C46" s="1" t="s">
        <v>43</v>
      </c>
      <c r="D46" s="1" t="s">
        <v>19</v>
      </c>
      <c r="E46" s="1" t="s">
        <v>51</v>
      </c>
      <c r="F46" t="str">
        <f t="shared" si="0"/>
        <v>Henry Ford</v>
      </c>
      <c r="G46" t="str">
        <f t="shared" si="1"/>
        <v>Henry</v>
      </c>
      <c r="H46" t="str">
        <f t="shared" si="10"/>
        <v>Ford</v>
      </c>
      <c r="I46" t="str">
        <f t="shared" si="3"/>
        <v>isabel.lewis@outlook.com</v>
      </c>
      <c r="J46" t="str">
        <f t="shared" si="4"/>
        <v>@outlook.com</v>
      </c>
      <c r="K46" t="str">
        <f t="shared" si="5"/>
        <v>SPEAKER</v>
      </c>
      <c r="L46" t="str">
        <f t="shared" si="6"/>
        <v>P-008</v>
      </c>
      <c r="M46" t="str">
        <f t="shared" si="7"/>
        <v>008</v>
      </c>
      <c r="N46" t="str">
        <f t="shared" si="8"/>
        <v>No</v>
      </c>
      <c r="O46" t="str">
        <f t="shared" si="9"/>
        <v>Henry_008</v>
      </c>
    </row>
    <row r="47" spans="1:15">
      <c r="A47" s="2" t="s">
        <v>15</v>
      </c>
      <c r="B47" s="1" t="s">
        <v>44</v>
      </c>
      <c r="C47" s="1" t="s">
        <v>47</v>
      </c>
      <c r="D47" s="1" t="s">
        <v>19</v>
      </c>
      <c r="E47" s="1" t="s">
        <v>14</v>
      </c>
      <c r="F47" t="str">
        <f t="shared" si="0"/>
        <v>Diana Prince</v>
      </c>
      <c r="G47" t="str">
        <f t="shared" si="1"/>
        <v>Diana</v>
      </c>
      <c r="H47" t="str">
        <f t="shared" si="10"/>
        <v>Prince</v>
      </c>
      <c r="I47" t="str">
        <f t="shared" si="3"/>
        <v>alice@gmail.com</v>
      </c>
      <c r="J47" t="str">
        <f t="shared" si="4"/>
        <v>@gmail.com</v>
      </c>
      <c r="K47" t="str">
        <f t="shared" si="5"/>
        <v>SPEAKER</v>
      </c>
      <c r="L47" t="str">
        <f t="shared" si="6"/>
        <v>P-003</v>
      </c>
      <c r="M47" t="str">
        <f t="shared" si="7"/>
        <v>003</v>
      </c>
      <c r="N47" t="str">
        <f t="shared" si="8"/>
        <v>No</v>
      </c>
      <c r="O47" t="str">
        <f t="shared" si="9"/>
        <v>Diana_003</v>
      </c>
    </row>
    <row r="48" spans="1:15" ht="14.25">
      <c r="A48" s="1" t="s">
        <v>30</v>
      </c>
      <c r="B48" s="1" t="s">
        <v>37</v>
      </c>
      <c r="C48" s="1" t="s">
        <v>43</v>
      </c>
      <c r="D48" s="1" t="s">
        <v>19</v>
      </c>
      <c r="E48" s="1" t="s">
        <v>48</v>
      </c>
      <c r="F48" t="str">
        <f t="shared" si="0"/>
        <v>Charlie Brown</v>
      </c>
      <c r="G48" t="str">
        <f t="shared" si="1"/>
        <v>Charlie</v>
      </c>
      <c r="H48" t="str">
        <f t="shared" si="10"/>
        <v>Brown</v>
      </c>
      <c r="I48" t="str">
        <f t="shared" si="3"/>
        <v>isabel.lewis@outlook.com</v>
      </c>
      <c r="J48" t="str">
        <f t="shared" si="4"/>
        <v>@outlook.com</v>
      </c>
      <c r="K48" t="str">
        <f t="shared" si="5"/>
        <v>SPEAKER</v>
      </c>
      <c r="L48" t="str">
        <f t="shared" si="6"/>
        <v>P-004</v>
      </c>
      <c r="M48" t="str">
        <f t="shared" si="7"/>
        <v>004</v>
      </c>
      <c r="N48" t="str">
        <f t="shared" si="8"/>
        <v>No</v>
      </c>
      <c r="O48" t="str">
        <f t="shared" si="9"/>
        <v>Charlie_004</v>
      </c>
    </row>
    <row r="49" spans="1:15" ht="14.25">
      <c r="A49" s="1" t="s">
        <v>21</v>
      </c>
      <c r="B49" s="1" t="s">
        <v>42</v>
      </c>
      <c r="C49" s="1" t="s">
        <v>54</v>
      </c>
      <c r="D49" s="1" t="s">
        <v>27</v>
      </c>
      <c r="E49" s="1" t="s">
        <v>9</v>
      </c>
      <c r="F49" t="str">
        <f t="shared" si="0"/>
        <v>Henry Ford</v>
      </c>
      <c r="G49" t="str">
        <f t="shared" si="1"/>
        <v>Henry</v>
      </c>
      <c r="H49" t="str">
        <f t="shared" si="10"/>
        <v>Ford</v>
      </c>
      <c r="I49" t="str">
        <f t="shared" si="3"/>
        <v>frank.castle@gmail.com</v>
      </c>
      <c r="J49" t="str">
        <f t="shared" si="4"/>
        <v>@gmail.com</v>
      </c>
      <c r="K49" t="str">
        <f t="shared" si="5"/>
        <v>KEYBOARD</v>
      </c>
      <c r="L49" t="str">
        <f t="shared" si="6"/>
        <v>P-002</v>
      </c>
      <c r="M49" t="str">
        <f t="shared" si="7"/>
        <v>002</v>
      </c>
      <c r="N49" t="str">
        <f t="shared" si="8"/>
        <v>No</v>
      </c>
      <c r="O49" t="str">
        <f t="shared" si="9"/>
        <v>Henry_002</v>
      </c>
    </row>
    <row r="50" spans="1:15" ht="14.25">
      <c r="A50" s="1" t="s">
        <v>30</v>
      </c>
      <c r="B50" s="1" t="s">
        <v>44</v>
      </c>
      <c r="C50" s="1" t="s">
        <v>12</v>
      </c>
      <c r="D50" s="1" t="s">
        <v>49</v>
      </c>
      <c r="E50" s="1" t="s">
        <v>50</v>
      </c>
      <c r="F50" t="str">
        <f t="shared" si="0"/>
        <v>Charlie Brown</v>
      </c>
      <c r="G50" t="str">
        <f t="shared" si="1"/>
        <v>Charlie</v>
      </c>
      <c r="H50" t="str">
        <f t="shared" si="10"/>
        <v>Brown</v>
      </c>
      <c r="I50" t="str">
        <f t="shared" si="3"/>
        <v>jack.reacher@gmail.com</v>
      </c>
      <c r="J50" t="str">
        <f t="shared" si="4"/>
        <v>@gmail.com</v>
      </c>
      <c r="K50" t="str">
        <f t="shared" si="5"/>
        <v>HEADPHONES</v>
      </c>
      <c r="L50" t="str">
        <f t="shared" si="6"/>
        <v>P-010</v>
      </c>
      <c r="M50" t="str">
        <f t="shared" si="7"/>
        <v>010</v>
      </c>
      <c r="N50" t="str">
        <f t="shared" si="8"/>
        <v>No</v>
      </c>
      <c r="O50" t="str">
        <f t="shared" si="9"/>
        <v>Charlie_010</v>
      </c>
    </row>
    <row r="51" spans="1:15" ht="14.25">
      <c r="A51" s="1" t="s">
        <v>10</v>
      </c>
      <c r="B51" s="1" t="s">
        <v>31</v>
      </c>
      <c r="C51" s="1" t="s">
        <v>47</v>
      </c>
      <c r="D51" s="1" t="s">
        <v>35</v>
      </c>
      <c r="E51" s="1" t="s">
        <v>26</v>
      </c>
      <c r="F51" t="str">
        <f t="shared" si="0"/>
        <v>Alice Smith</v>
      </c>
      <c r="G51" t="str">
        <f t="shared" si="1"/>
        <v>Alice</v>
      </c>
      <c r="H51" t="str">
        <f t="shared" si="10"/>
        <v>Smith</v>
      </c>
      <c r="I51" t="str">
        <f t="shared" si="3"/>
        <v>alice@gmail.com</v>
      </c>
      <c r="J51" t="str">
        <f t="shared" si="4"/>
        <v>@gmail.com</v>
      </c>
      <c r="K51" t="str">
        <f t="shared" si="5"/>
        <v>TABLET</v>
      </c>
      <c r="L51" t="str">
        <f t="shared" si="6"/>
        <v>P-006</v>
      </c>
      <c r="M51" t="str">
        <f t="shared" si="7"/>
        <v>006</v>
      </c>
      <c r="N51" t="str">
        <f t="shared" si="8"/>
        <v>No</v>
      </c>
      <c r="O51" t="str">
        <f t="shared" si="9"/>
        <v>Alice_006</v>
      </c>
    </row>
    <row r="52" spans="1:15" ht="14.25">
      <c r="A52" s="1" t="s">
        <v>10</v>
      </c>
      <c r="B52" s="1" t="s">
        <v>46</v>
      </c>
      <c r="C52" s="1" t="s">
        <v>12</v>
      </c>
      <c r="D52" s="1" t="s">
        <v>49</v>
      </c>
      <c r="E52" s="1" t="s">
        <v>50</v>
      </c>
      <c r="F52" t="str">
        <f t="shared" si="0"/>
        <v>Alice Smith</v>
      </c>
      <c r="G52" t="str">
        <f t="shared" si="1"/>
        <v>Alice</v>
      </c>
      <c r="H52" t="str">
        <f t="shared" si="10"/>
        <v>Smith</v>
      </c>
      <c r="I52" t="str">
        <f t="shared" si="3"/>
        <v>jack.reacher@gmail.com</v>
      </c>
      <c r="J52" t="str">
        <f t="shared" si="4"/>
        <v>@gmail.com</v>
      </c>
      <c r="K52" t="str">
        <f t="shared" si="5"/>
        <v>HEADPHONES</v>
      </c>
      <c r="L52" t="str">
        <f t="shared" si="6"/>
        <v>P-010</v>
      </c>
      <c r="M52" t="str">
        <f t="shared" si="7"/>
        <v>010</v>
      </c>
      <c r="N52" t="str">
        <f t="shared" si="8"/>
        <v>No</v>
      </c>
      <c r="O52" t="str">
        <f t="shared" si="9"/>
        <v>Alice_010</v>
      </c>
    </row>
    <row r="53" spans="1:15" ht="14.25">
      <c r="A53" s="1" t="s">
        <v>34</v>
      </c>
      <c r="B53" s="1" t="s">
        <v>22</v>
      </c>
      <c r="C53" s="1" t="s">
        <v>40</v>
      </c>
      <c r="D53" s="1" t="s">
        <v>19</v>
      </c>
      <c r="E53" s="1" t="s">
        <v>50</v>
      </c>
      <c r="F53" t="str">
        <f t="shared" si="0"/>
        <v>Eve Adams</v>
      </c>
      <c r="G53" t="str">
        <f t="shared" si="1"/>
        <v>Eve</v>
      </c>
      <c r="H53" t="str">
        <f t="shared" si="10"/>
        <v>Adams</v>
      </c>
      <c r="I53" t="str">
        <f t="shared" si="3"/>
        <v>grace.hopper@gmail.com</v>
      </c>
      <c r="J53" t="str">
        <f t="shared" si="4"/>
        <v>@gmail.com</v>
      </c>
      <c r="K53" t="str">
        <f t="shared" si="5"/>
        <v>SPEAKER</v>
      </c>
      <c r="L53" t="str">
        <f t="shared" si="6"/>
        <v>P-010</v>
      </c>
      <c r="M53" t="str">
        <f t="shared" si="7"/>
        <v>010</v>
      </c>
      <c r="N53" t="str">
        <f t="shared" si="8"/>
        <v>No</v>
      </c>
      <c r="O53" t="str">
        <f t="shared" si="9"/>
        <v>Eve_010</v>
      </c>
    </row>
    <row r="54" spans="1:15" ht="14.25">
      <c r="A54" s="1" t="s">
        <v>5</v>
      </c>
      <c r="B54" s="1" t="s">
        <v>44</v>
      </c>
      <c r="C54" s="1" t="s">
        <v>54</v>
      </c>
      <c r="D54" s="1" t="s">
        <v>27</v>
      </c>
      <c r="E54" s="1" t="s">
        <v>14</v>
      </c>
      <c r="F54" t="str">
        <f t="shared" si="0"/>
        <v>Frank Castle</v>
      </c>
      <c r="G54" t="str">
        <f t="shared" si="1"/>
        <v>Frank</v>
      </c>
      <c r="H54" t="str">
        <f t="shared" si="10"/>
        <v>Castle</v>
      </c>
      <c r="I54" t="str">
        <f t="shared" si="3"/>
        <v>frank.castle@gmail.com</v>
      </c>
      <c r="J54" t="str">
        <f t="shared" si="4"/>
        <v>@gmail.com</v>
      </c>
      <c r="K54" t="str">
        <f t="shared" si="5"/>
        <v>KEYBOARD</v>
      </c>
      <c r="L54" t="str">
        <f t="shared" si="6"/>
        <v>P-003</v>
      </c>
      <c r="M54" t="str">
        <f t="shared" si="7"/>
        <v>003</v>
      </c>
      <c r="N54" t="str">
        <f t="shared" si="8"/>
        <v>No</v>
      </c>
      <c r="O54" t="str">
        <f t="shared" si="9"/>
        <v>Frank_003</v>
      </c>
    </row>
    <row r="55" spans="1:15" ht="14.25">
      <c r="A55" s="1" t="s">
        <v>5</v>
      </c>
      <c r="B55" s="1" t="s">
        <v>42</v>
      </c>
      <c r="C55" s="1" t="s">
        <v>18</v>
      </c>
      <c r="D55" s="1" t="s">
        <v>27</v>
      </c>
      <c r="E55" s="1" t="s">
        <v>33</v>
      </c>
      <c r="F55" t="str">
        <f t="shared" si="0"/>
        <v>Frank Castle</v>
      </c>
      <c r="G55" t="str">
        <f t="shared" si="1"/>
        <v>Frank</v>
      </c>
      <c r="H55" t="str">
        <f t="shared" si="10"/>
        <v>Castle</v>
      </c>
      <c r="I55" t="str">
        <f t="shared" si="3"/>
        <v>diana_prince@outlook.com</v>
      </c>
      <c r="J55" t="str">
        <f t="shared" si="4"/>
        <v>@outlook.com</v>
      </c>
      <c r="K55" t="str">
        <f t="shared" si="5"/>
        <v>KEYBOARD</v>
      </c>
      <c r="L55" t="str">
        <f t="shared" si="6"/>
        <v>P-001</v>
      </c>
      <c r="M55" t="str">
        <f t="shared" si="7"/>
        <v>001</v>
      </c>
      <c r="N55" t="str">
        <f t="shared" si="8"/>
        <v>No</v>
      </c>
      <c r="O55" t="str">
        <f t="shared" si="9"/>
        <v>Frank_001</v>
      </c>
    </row>
    <row r="56" spans="1:15" ht="14.25">
      <c r="A56" s="1" t="s">
        <v>36</v>
      </c>
      <c r="B56" s="1" t="s">
        <v>31</v>
      </c>
      <c r="C56" s="1" t="s">
        <v>32</v>
      </c>
      <c r="D56" s="1" t="s">
        <v>25</v>
      </c>
      <c r="E56" s="1" t="s">
        <v>50</v>
      </c>
      <c r="F56" t="str">
        <f t="shared" si="0"/>
        <v>Grace Hopper</v>
      </c>
      <c r="G56" t="str">
        <f t="shared" si="1"/>
        <v>Grace</v>
      </c>
      <c r="H56" t="str">
        <f t="shared" si="10"/>
        <v>Hopper</v>
      </c>
      <c r="I56" t="str">
        <f t="shared" si="3"/>
        <v>bob@gmail.com</v>
      </c>
      <c r="J56" t="str">
        <f t="shared" si="4"/>
        <v>@gmail.com</v>
      </c>
      <c r="K56" t="str">
        <f t="shared" si="5"/>
        <v>TV</v>
      </c>
      <c r="L56" t="str">
        <f t="shared" si="6"/>
        <v>P-010</v>
      </c>
      <c r="M56" t="str">
        <f t="shared" si="7"/>
        <v>010</v>
      </c>
      <c r="N56" t="str">
        <f t="shared" si="8"/>
        <v>No</v>
      </c>
      <c r="O56" t="str">
        <f t="shared" si="9"/>
        <v>Grace_010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Saumya SHARMA</cp:lastModifiedBy>
  <dcterms:modified xsi:type="dcterms:W3CDTF">2025-12-20T04:11:39Z</dcterms:modified>
</cp:coreProperties>
</file>